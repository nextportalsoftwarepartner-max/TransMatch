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anchian\Software_Development\TransMatch\"/>
    </mc:Choice>
  </mc:AlternateContent>
  <xr:revisionPtr revIDLastSave="0" documentId="13_ncr:1_{F67D004A-D2B1-4804-A15C-CF127F78AA20}" xr6:coauthVersionLast="47" xr6:coauthVersionMax="47" xr10:uidLastSave="{00000000-0000-0000-0000-000000000000}"/>
  <bookViews>
    <workbookView xWindow="0" yWindow="720" windowWidth="25600" windowHeight="13680" xr2:uid="{17E6A1CA-D8EF-44C7-AC4A-9329F54EF9C7}"/>
  </bookViews>
  <sheets>
    <sheet name="PurchaseOrder(PO)" sheetId="1" r:id="rId1"/>
  </sheets>
  <externalReferences>
    <externalReference r:id="rId2"/>
  </externalReferences>
  <definedNames>
    <definedName name="ColumnTitle1" localSheetId="0">Quotation34[[#Headers],[Module]]</definedName>
    <definedName name="ColumnTitle1">[1]!Quotation[[#Headers],[Module]]</definedName>
    <definedName name="ColumnTitleRegion1..B11.1" localSheetId="0">'PurchaseOrder(PO)'!$B$7</definedName>
    <definedName name="_xlnm.Print_Area" localSheetId="0">'PurchaseOrder(PO)'!$B$1:$E$33</definedName>
    <definedName name="_xlnm.Print_Titles" localSheetId="0">'PurchaseOrder(PO)'!$14:$14</definedName>
    <definedName name="RowTitleRegion1..D4" localSheetId="0">'PurchaseOrder(PO)'!$C$4</definedName>
    <definedName name="RowTitleRegion2..D7" localSheetId="0">'PurchaseOrder(PO)'!$C$7</definedName>
    <definedName name="RowTitleRegion3..C12" localSheetId="0">'PurchaseOrder(PO)'!#REF!</definedName>
    <definedName name="RowTitleRegion3..C12">'[1]Quotation-old'!#REF!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D30" i="1"/>
  <c r="E30" i="1"/>
</calcChain>
</file>

<file path=xl/sharedStrings.xml><?xml version="1.0" encoding="utf-8"?>
<sst xmlns="http://schemas.openxmlformats.org/spreadsheetml/2006/main" count="60" uniqueCount="60">
  <si>
    <t>THANK YOU FOR YOUR BUSINESS!</t>
  </si>
  <si>
    <t>If you have any inquiries or require clarification regarding this quotation, please do not hesitate to contact us 
via the provided phone number or email address.</t>
  </si>
  <si>
    <t xml:space="preserve">TOTAL  </t>
  </si>
  <si>
    <t>4 months</t>
  </si>
  <si>
    <t>The basic plan of database rental fees during development stage.</t>
  </si>
  <si>
    <t>Database Rental Fees</t>
  </si>
  <si>
    <t>Integrate modules and perform functionality testing</t>
  </si>
  <si>
    <t>System Integration and Testing</t>
  </si>
  <si>
    <t>Implement role-based access control for managing user permissions</t>
  </si>
  <si>
    <t>User Matrix Control</t>
  </si>
  <si>
    <t>Provide offline data backup and recovery options</t>
  </si>
  <si>
    <t>Local Backup and Recovery</t>
  </si>
  <si>
    <t>Strengthen local data storage security and permissions</t>
  </si>
  <si>
    <t>Security and Encryption</t>
  </si>
  <si>
    <t>Allow customers to edit and correct OCR data via the frontend</t>
  </si>
  <si>
    <t>OCR Data Enrichment</t>
  </si>
  <si>
    <t>Extract text from images using OCR</t>
  </si>
  <si>
    <t>OCR Function Implementation</t>
  </si>
  <si>
    <t>Supports photo file upload (JPG, PNG)</t>
  </si>
  <si>
    <t>Photo Upload Module</t>
  </si>
  <si>
    <t>Export matched data between customer records and bank statements into an Excel file</t>
  </si>
  <si>
    <t>Report Module</t>
  </si>
  <si>
    <t>Quickly search by keywords or customer names</t>
  </si>
  <si>
    <t>Search Functionality</t>
  </si>
  <si>
    <t>Map and Display detailed customer information and transaction records</t>
  </si>
  <si>
    <t>Customer Info Mapping</t>
  </si>
  <si>
    <t>Supports importing customer lists and bank statements (.pdf, .xlsx, csv)</t>
  </si>
  <si>
    <t>Data Import and Parsing</t>
  </si>
  <si>
    <t>Offline-ready interface design &amp; Database storage design</t>
  </si>
  <si>
    <t>UI Design and Software Frame Development</t>
  </si>
  <si>
    <t>Provide an interactive demo to review the UI/UX and functionalities before final deployment</t>
  </si>
  <si>
    <t>Pre-Deployment Screen Demonstration</t>
  </si>
  <si>
    <t>Analyze client requirements, define software goals, and plan development</t>
  </si>
  <si>
    <t>Business Requirement Refinement</t>
  </si>
  <si>
    <t>AMOUNT
(MYR)</t>
  </si>
  <si>
    <t>Timeframe
(weeks)</t>
  </si>
  <si>
    <t>Description</t>
  </si>
  <si>
    <t>Module</t>
  </si>
  <si>
    <r>
      <t xml:space="preserve">*Professional Service Fee: RM 50 per man-day
</t>
    </r>
    <r>
      <rPr>
        <i/>
        <sz val="7"/>
        <rFont val="Aptos Narrow"/>
        <family val="2"/>
        <scheme val="minor"/>
      </rPr>
      <t>(labor fees under market value)</t>
    </r>
  </si>
  <si>
    <t xml:space="preserve">City &amp; ZIP Code: - </t>
  </si>
  <si>
    <t xml:space="preserve">Street Address: - </t>
  </si>
  <si>
    <t>CHIAN WEILON (ALAN)</t>
  </si>
  <si>
    <t>Prepared by:</t>
  </si>
  <si>
    <t xml:space="preserve">Company Name: - </t>
  </si>
  <si>
    <t>Software Solution Provider</t>
  </si>
  <si>
    <t>Issued by:</t>
  </si>
  <si>
    <t>WONG EUWIN</t>
  </si>
  <si>
    <t>Purchase order valid until:</t>
  </si>
  <si>
    <t>Bill To:</t>
  </si>
  <si>
    <t>-</t>
  </si>
  <si>
    <t>Customer ID :</t>
  </si>
  <si>
    <t>Phone        :   +60 16-284 3121</t>
  </si>
  <si>
    <t>PO00001</t>
  </si>
  <si>
    <t>P.O Number :</t>
  </si>
  <si>
    <t>P.O Date :</t>
  </si>
  <si>
    <t>Purcharse Order</t>
  </si>
  <si>
    <t>To            :   WONG EUWIN</t>
  </si>
  <si>
    <r>
      <t xml:space="preserve">No6, Jalan 7/1a Taman Kepong Indah
52100, Kuala Lumpur, Malaysia
</t>
    </r>
    <r>
      <rPr>
        <sz val="10"/>
        <rFont val="Aptos Narrow"/>
        <family val="2"/>
        <scheme val="minor"/>
      </rPr>
      <t>Tel: +6018-2577587 | Email: alanchian93@gmail.com</t>
    </r>
  </si>
  <si>
    <t>CHIAN WEILON</t>
  </si>
  <si>
    <r>
      <rPr>
        <b/>
        <sz val="11"/>
        <rFont val="Aptos Narrow"/>
        <family val="2"/>
        <scheme val="minor"/>
      </rPr>
      <t>Matter</t>
    </r>
    <r>
      <rPr>
        <sz val="11"/>
        <rFont val="Aptos Narrow"/>
        <family val="2"/>
        <scheme val="minor"/>
      </rPr>
      <t>:  For Customer Screening Software Application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</si>
</sst>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[$MYR]\ * #,##0.00_-;\-[$MYR]\ * #,##0.00_-;_-[$MYR]\ * &quot;-&quot;??_-;_-@_-"/>
    <numFmt numFmtId="165" formatCode="[&lt;=9999999]###\-####;\(###\)\ ###\-####"/>
    <numFmt numFmtId="166" formatCode="[$-409]mmmm\ d\,\ yyyy;@"/>
  </numFmts>
  <fonts count="13" x14ac:knownFonts="1"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7"/>
      <name val="Aptos Narrow"/>
      <family val="2"/>
      <scheme val="minor"/>
    </font>
    <font>
      <i/>
      <sz val="7"/>
      <name val="Aptos Narrow"/>
      <family val="2"/>
      <scheme val="minor"/>
    </font>
    <font>
      <sz val="9"/>
      <name val="Aptos Narrow"/>
      <family val="2"/>
      <scheme val="minor"/>
    </font>
    <font>
      <i/>
      <sz val="11"/>
      <name val="Aptos Narrow"/>
      <family val="2"/>
      <scheme val="minor"/>
    </font>
    <font>
      <b/>
      <i/>
      <sz val="11"/>
      <name val="Aptos Narrow"/>
      <family val="2"/>
      <scheme val="minor"/>
    </font>
    <font>
      <sz val="28"/>
      <color theme="0" tint="-0.499984740745262"/>
      <name val="Aptos Display"/>
      <family val="2"/>
      <scheme val="major"/>
    </font>
    <font>
      <sz val="22"/>
      <color theme="0" tint="-0.499984740745262"/>
      <name val="Aptos Display"/>
      <family val="2"/>
      <scheme val="major"/>
    </font>
    <font>
      <sz val="10"/>
      <name val="Aptos Narrow"/>
      <family val="2"/>
      <scheme val="minor"/>
    </font>
    <font>
      <b/>
      <sz val="1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10">
    <xf numFmtId="0" fontId="0" fillId="0" borderId="0">
      <alignment horizontal="left" wrapText="1"/>
    </xf>
    <xf numFmtId="0" fontId="9" fillId="0" borderId="0">
      <alignment horizontal="right"/>
    </xf>
    <xf numFmtId="0" fontId="12" fillId="0" borderId="0">
      <alignment horizontal="left" wrapText="1"/>
    </xf>
    <xf numFmtId="0" fontId="3" fillId="0" borderId="0">
      <alignment horizontal="right" indent="1"/>
    </xf>
    <xf numFmtId="0" fontId="3" fillId="0" borderId="0">
      <alignment horizontal="left" vertical="top"/>
    </xf>
    <xf numFmtId="0" fontId="7" fillId="0" borderId="0">
      <alignment horizontal="right" indent="1"/>
    </xf>
    <xf numFmtId="0" fontId="3" fillId="0" borderId="0">
      <alignment horizontal="center" wrapText="1"/>
    </xf>
    <xf numFmtId="0" fontId="8" fillId="0" borderId="0">
      <alignment vertical="top" wrapText="1"/>
    </xf>
    <xf numFmtId="165" fontId="2" fillId="0" borderId="0" applyFont="0" applyFill="0" applyBorder="0" applyProtection="0">
      <alignment horizontal="left" vertical="top" wrapText="1"/>
    </xf>
    <xf numFmtId="166" fontId="2" fillId="0" borderId="0" applyFont="0" applyFill="0" applyBorder="0" applyAlignment="0" applyProtection="0">
      <alignment horizontal="left"/>
    </xf>
  </cellStyleXfs>
  <cellXfs count="34">
    <xf numFmtId="0" fontId="0" fillId="0" borderId="0" xfId="0">
      <alignment horizontal="left" wrapText="1"/>
    </xf>
    <xf numFmtId="0" fontId="0" fillId="0" borderId="0" xfId="0" applyAlignment="1">
      <alignment horizontal="center" wrapText="1"/>
    </xf>
    <xf numFmtId="164" fontId="0" fillId="0" borderId="0" xfId="0" applyNumberFormat="1" applyAlignment="1">
      <alignment horizontal="right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left" vertical="center" wrapText="1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 indent="1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 inden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 indent="1"/>
    </xf>
    <xf numFmtId="0" fontId="0" fillId="0" borderId="4" xfId="0" applyBorder="1">
      <alignment horizontal="left" wrapText="1"/>
    </xf>
    <xf numFmtId="165" fontId="0" fillId="0" borderId="4" xfId="8" applyFont="1" applyBorder="1">
      <alignment horizontal="left" vertical="top" wrapText="1"/>
    </xf>
    <xf numFmtId="0" fontId="7" fillId="0" borderId="0" xfId="5">
      <alignment horizontal="right" indent="1"/>
    </xf>
    <xf numFmtId="0" fontId="3" fillId="0" borderId="0" xfId="4">
      <alignment horizontal="left" vertical="top"/>
    </xf>
    <xf numFmtId="0" fontId="0" fillId="0" borderId="0" xfId="0" applyAlignment="1">
      <alignment horizontal="right" vertical="top" wrapText="1"/>
    </xf>
    <xf numFmtId="0" fontId="3" fillId="0" borderId="0" xfId="3" applyAlignment="1">
      <alignment horizontal="right" vertical="top"/>
    </xf>
    <xf numFmtId="0" fontId="0" fillId="0" borderId="0" xfId="0" applyAlignment="1">
      <alignment horizontal="center" vertical="top" wrapText="1"/>
    </xf>
    <xf numFmtId="166" fontId="0" fillId="0" borderId="0" xfId="9" applyFont="1" applyAlignment="1">
      <alignment horizontal="right"/>
    </xf>
    <xf numFmtId="0" fontId="3" fillId="0" borderId="0" xfId="3" applyAlignment="1">
      <alignment horizontal="right" vertical="center"/>
    </xf>
    <xf numFmtId="0" fontId="8" fillId="0" borderId="0" xfId="7">
      <alignment vertical="top" wrapText="1"/>
    </xf>
    <xf numFmtId="0" fontId="9" fillId="0" borderId="0" xfId="1" applyAlignment="1"/>
    <xf numFmtId="0" fontId="10" fillId="0" borderId="5" xfId="1" applyFont="1" applyBorder="1" applyAlignment="1">
      <alignment horizontal="right" vertical="center"/>
    </xf>
    <xf numFmtId="0" fontId="10" fillId="0" borderId="0" xfId="1" applyFont="1" applyAlignment="1">
      <alignment vertical="center"/>
    </xf>
    <xf numFmtId="0" fontId="6" fillId="0" borderId="0" xfId="0" applyFont="1" applyAlignment="1">
      <alignment horizontal="right" wrapText="1"/>
    </xf>
    <xf numFmtId="0" fontId="12" fillId="0" borderId="0" xfId="2" applyAlignment="1">
      <alignment horizontal="center" vertical="center" wrapText="1"/>
    </xf>
    <xf numFmtId="0" fontId="0" fillId="0" borderId="6" xfId="0" applyBorder="1" applyAlignment="1">
      <alignment horizontal="center" vertical="top" wrapText="1"/>
    </xf>
    <xf numFmtId="165" fontId="0" fillId="0" borderId="3" xfId="8" applyFont="1" applyBorder="1" applyAlignment="1">
      <alignment horizontal="left" vertical="center" wrapText="1"/>
    </xf>
    <xf numFmtId="0" fontId="4" fillId="0" borderId="3" xfId="0" applyFont="1" applyBorder="1" applyAlignment="1">
      <alignment horizontal="right" wrapText="1"/>
    </xf>
    <xf numFmtId="0" fontId="0" fillId="0" borderId="0" xfId="0" applyAlignment="1">
      <alignment horizontal="center" wrapText="1"/>
    </xf>
    <xf numFmtId="0" fontId="3" fillId="0" borderId="0" xfId="6">
      <alignment horizontal="center" wrapText="1"/>
    </xf>
  </cellXfs>
  <cellStyles count="10">
    <cellStyle name="Date" xfId="9" xr:uid="{AB88B52E-6AAC-48F8-AE88-C3408D08C504}"/>
    <cellStyle name="Explanatory Text" xfId="7" builtinId="53"/>
    <cellStyle name="Heading 1" xfId="2" builtinId="16"/>
    <cellStyle name="Heading 2" xfId="3" builtinId="17"/>
    <cellStyle name="Heading 3" xfId="4" builtinId="18"/>
    <cellStyle name="Heading 4" xfId="5" builtinId="19"/>
    <cellStyle name="Normal" xfId="0" builtinId="0"/>
    <cellStyle name="Note" xfId="6" builtinId="10"/>
    <cellStyle name="Phone" xfId="8" xr:uid="{F5D77CFE-6302-425C-A3DF-8A5C310CFB58}"/>
    <cellStyle name="Title" xfId="1" builtinId="15"/>
  </cellStyles>
  <dxfs count="14">
    <dxf>
      <numFmt numFmtId="164" formatCode="_-[$MYR]\ * #,##0.00_-;\-[$MYR]\ * #,##0.00_-;_-[$MYR]\ * &quot;-&quot;??_-;_-@_-"/>
      <alignment horizontal="right" vertical="center" textRotation="0" wrapText="0" indent="0" justifyLastLine="0" shrinkToFit="0" readingOrder="0"/>
    </dxf>
    <dxf>
      <numFmt numFmtId="164" formatCode="_-[$MYR]\ * #,##0.00_-;\-[$MYR]\ * #,##0.00_-;_-[$MYR]\ * &quot;-&quot;??_-;_-@_-"/>
      <alignment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0" indent="0" justifyLastLine="0" shrinkToFit="0" readingOrder="0"/>
    </dxf>
    <dxf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</border>
    </dxf>
    <dxf>
      <font>
        <b val="0"/>
        <i val="0"/>
        <color theme="1"/>
      </font>
      <border diagonalUp="0" diagonalDown="0">
        <left/>
        <right/>
        <top style="thin">
          <color auto="1"/>
        </top>
        <bottom/>
        <vertical/>
        <horizontal/>
      </border>
    </dxf>
    <dxf>
      <font>
        <b/>
        <i val="0"/>
        <color auto="1"/>
      </font>
      <fill>
        <patternFill patternType="solid">
          <fgColor theme="1"/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horizontal style="thin">
          <color theme="1"/>
        </horizontal>
      </border>
    </dxf>
  </dxfs>
  <tableStyles count="1" defaultTableStyle="TableStyleMedium2" defaultPivotStyle="PivotStyleLight16">
    <tableStyle name="Price quotation without tax" pivot="0" count="5" xr9:uid="{BF016C1F-1EA2-4CD7-AE6A-4B13EEA72684}">
      <tableStyleElement type="wholeTable" dxfId="13"/>
      <tableStyleElement type="headerRow" dxfId="12"/>
      <tableStyleElement type="totalRow" dxfId="11"/>
      <tableStyleElement type="lastColumn" dxfId="10"/>
      <tableStyleElement type="lastTotalCell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lanchian\Software_Development\TransMatch\Quotation%20for%20TransMatch(Offline).xlsx" TargetMode="External"/><Relationship Id="rId1" Type="http://schemas.openxmlformats.org/officeDocument/2006/relationships/externalLinkPath" Target="Quotation%20for%20TransMatch(Offline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uotation-New"/>
      <sheetName val="Quotation-old"/>
    </sheetNames>
    <sheetDataSet>
      <sheetData sheetId="0"/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68D0F6-BF50-40FE-98B3-81B8D715412D}" name="Quotation34" displayName="Quotation34" ref="B14:E30" totalsRowCount="1" headerRowDxfId="8">
  <tableColumns count="4">
    <tableColumn id="1" xr3:uid="{CBB88BB9-CDB8-4C87-A7A9-6F2987B6C3F4}" name="Module" dataDxfId="7" totalsRowDxfId="6" dataCellStyle="Normal"/>
    <tableColumn id="2" xr3:uid="{BB29F528-4F9A-40C4-805A-45BB17DB2AD3}" name="Description" totalsRowLabel="TOTAL  " dataDxfId="5" totalsRowDxfId="4" dataCellStyle="Normal"/>
    <tableColumn id="6" xr3:uid="{EA6AE7A5-9A42-4A38-B899-EE661B128589}" name="Timeframe_x000a_(weeks)" totalsRowFunction="custom" dataDxfId="3" totalsRowDxfId="2">
      <totalsRowFormula>SUM(D15:D28)</totalsRowFormula>
    </tableColumn>
    <tableColumn id="3" xr3:uid="{82760B6E-609E-480A-8D7D-2AD918E4A0CE}" name="AMOUNT_x000a_(MYR)" totalsRowFunction="sum" dataDxfId="1" totalsRowDxfId="0">
      <calculatedColumnFormula>(50*Quotation34[[#This Row],[Timeframe
(weeks)]])*7</calculatedColumnFormula>
    </tableColumn>
  </tableColumns>
  <tableStyleInfo name="Price quotation without tax" showFirstColumn="0" showLastColumn="1" showRowStripes="0" showColumnStripes="0"/>
  <extLst>
    <ext xmlns:x14="http://schemas.microsoft.com/office/spreadsheetml/2009/9/main" uri="{504A1905-F514-4f6f-8877-14C23A59335A}">
      <x14:table altTextSummary="Enter Description and Amount in this table. Total due is automatically calculated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D6852-8EA7-45CF-B3BE-BC0CF2FD73E8}">
  <sheetPr>
    <tabColor theme="4"/>
    <pageSetUpPr fitToPage="1"/>
  </sheetPr>
  <dimension ref="B1:F33"/>
  <sheetViews>
    <sheetView showGridLines="0" tabSelected="1" zoomScaleNormal="100" workbookViewId="0">
      <selection activeCell="I6" sqref="I6"/>
    </sheetView>
  </sheetViews>
  <sheetFormatPr defaultRowHeight="30" customHeight="1" x14ac:dyDescent="0.35"/>
  <cols>
    <col min="1" max="1" width="2.6328125" customWidth="1"/>
    <col min="2" max="2" width="33.453125" customWidth="1"/>
    <col min="3" max="3" width="49.81640625" customWidth="1"/>
    <col min="4" max="5" width="20.36328125" customWidth="1"/>
    <col min="6" max="6" width="2.81640625" customWidth="1"/>
  </cols>
  <sheetData>
    <row r="1" spans="2:6" ht="30" customHeight="1" x14ac:dyDescent="0.35">
      <c r="B1" s="28" t="s">
        <v>58</v>
      </c>
      <c r="C1" s="28"/>
      <c r="D1" s="28"/>
      <c r="E1" s="28"/>
    </row>
    <row r="2" spans="2:6" ht="48.5" customHeight="1" thickBot="1" x14ac:dyDescent="0.4">
      <c r="B2" s="29" t="s">
        <v>57</v>
      </c>
      <c r="C2" s="29"/>
      <c r="D2" s="29"/>
      <c r="E2" s="29"/>
    </row>
    <row r="3" spans="2:6" ht="37" customHeight="1" thickTop="1" x14ac:dyDescent="0.85">
      <c r="B3" s="1" t="s">
        <v>56</v>
      </c>
      <c r="C3" s="26"/>
      <c r="E3" s="25" t="s">
        <v>55</v>
      </c>
      <c r="F3" s="24"/>
    </row>
    <row r="4" spans="2:6" ht="15" customHeight="1" x14ac:dyDescent="0.35">
      <c r="C4" s="22"/>
      <c r="D4" s="22" t="s">
        <v>54</v>
      </c>
      <c r="E4" s="21">
        <v>45649</v>
      </c>
    </row>
    <row r="5" spans="2:6" ht="15" customHeight="1" x14ac:dyDescent="0.35">
      <c r="B5" s="23"/>
      <c r="C5" s="22"/>
      <c r="D5" s="22" t="s">
        <v>53</v>
      </c>
      <c r="E5" s="21" t="s">
        <v>52</v>
      </c>
    </row>
    <row r="6" spans="2:6" ht="27.65" customHeight="1" x14ac:dyDescent="0.35">
      <c r="B6" s="20" t="s">
        <v>51</v>
      </c>
      <c r="C6" s="19"/>
      <c r="D6" s="19" t="s">
        <v>50</v>
      </c>
      <c r="E6" s="18" t="s">
        <v>49</v>
      </c>
    </row>
    <row r="7" spans="2:6" ht="15" customHeight="1" x14ac:dyDescent="0.35">
      <c r="B7" s="17" t="s">
        <v>48</v>
      </c>
      <c r="C7" s="16"/>
      <c r="D7" s="16" t="s">
        <v>47</v>
      </c>
      <c r="E7" s="21">
        <v>45658</v>
      </c>
    </row>
    <row r="8" spans="2:6" ht="30" customHeight="1" x14ac:dyDescent="0.35">
      <c r="B8" t="s">
        <v>46</v>
      </c>
      <c r="C8" s="16"/>
      <c r="D8" s="16" t="s">
        <v>45</v>
      </c>
      <c r="E8" s="27" t="s">
        <v>44</v>
      </c>
    </row>
    <row r="9" spans="2:6" ht="14.5" x14ac:dyDescent="0.35">
      <c r="B9" t="s">
        <v>43</v>
      </c>
      <c r="D9" s="16" t="s">
        <v>42</v>
      </c>
      <c r="E9" s="27" t="s">
        <v>41</v>
      </c>
    </row>
    <row r="10" spans="2:6" ht="14.5" x14ac:dyDescent="0.35">
      <c r="B10" t="s">
        <v>40</v>
      </c>
    </row>
    <row r="11" spans="2:6" ht="14.5" x14ac:dyDescent="0.35">
      <c r="B11" t="s">
        <v>39</v>
      </c>
    </row>
    <row r="12" spans="2:6" ht="15" thickBot="1" x14ac:dyDescent="0.4">
      <c r="B12" s="15"/>
      <c r="C12" s="14"/>
      <c r="D12" s="14"/>
      <c r="E12" s="14"/>
    </row>
    <row r="13" spans="2:6" ht="35" customHeight="1" x14ac:dyDescent="0.35">
      <c r="B13" s="30" t="s">
        <v>59</v>
      </c>
      <c r="C13" s="30"/>
      <c r="D13" s="31" t="s">
        <v>38</v>
      </c>
      <c r="E13" s="31"/>
    </row>
    <row r="14" spans="2:6" ht="30" customHeight="1" x14ac:dyDescent="0.35">
      <c r="B14" s="13" t="s">
        <v>37</v>
      </c>
      <c r="C14" s="13" t="s">
        <v>36</v>
      </c>
      <c r="D14" s="10" t="s">
        <v>35</v>
      </c>
      <c r="E14" s="10" t="s">
        <v>34</v>
      </c>
    </row>
    <row r="15" spans="2:6" ht="35" customHeight="1" x14ac:dyDescent="0.35">
      <c r="B15" s="11" t="s">
        <v>33</v>
      </c>
      <c r="C15" s="11" t="s">
        <v>32</v>
      </c>
      <c r="D15" s="12">
        <v>1</v>
      </c>
      <c r="E15" s="9">
        <f>(50*Quotation34[[#This Row],[Timeframe
(weeks)]])*7</f>
        <v>350</v>
      </c>
    </row>
    <row r="16" spans="2:6" ht="35" customHeight="1" x14ac:dyDescent="0.35">
      <c r="B16" s="11" t="s">
        <v>31</v>
      </c>
      <c r="C16" s="11" t="s">
        <v>30</v>
      </c>
      <c r="D16" s="12">
        <v>1.5</v>
      </c>
      <c r="E16" s="9">
        <f>(50*Quotation34[[#This Row],[Timeframe
(weeks)]])*7</f>
        <v>525</v>
      </c>
    </row>
    <row r="17" spans="2:5" ht="35" customHeight="1" x14ac:dyDescent="0.35">
      <c r="B17" s="11" t="s">
        <v>29</v>
      </c>
      <c r="C17" s="11" t="s">
        <v>28</v>
      </c>
      <c r="D17" s="10">
        <v>4</v>
      </c>
      <c r="E17" s="9">
        <f>(50*Quotation34[[#This Row],[Timeframe
(weeks)]])*7</f>
        <v>1400</v>
      </c>
    </row>
    <row r="18" spans="2:5" ht="35" customHeight="1" x14ac:dyDescent="0.35">
      <c r="B18" s="11" t="s">
        <v>27</v>
      </c>
      <c r="C18" s="11" t="s">
        <v>26</v>
      </c>
      <c r="D18" s="10">
        <v>2</v>
      </c>
      <c r="E18" s="9">
        <f>(50*Quotation34[[#This Row],[Timeframe
(weeks)]])*7</f>
        <v>700</v>
      </c>
    </row>
    <row r="19" spans="2:5" ht="35" customHeight="1" x14ac:dyDescent="0.35">
      <c r="B19" s="11" t="s">
        <v>25</v>
      </c>
      <c r="C19" s="11" t="s">
        <v>24</v>
      </c>
      <c r="D19" s="10">
        <v>3</v>
      </c>
      <c r="E19" s="9">
        <f>(50*Quotation34[[#This Row],[Timeframe
(weeks)]])*7</f>
        <v>1050</v>
      </c>
    </row>
    <row r="20" spans="2:5" ht="35" customHeight="1" x14ac:dyDescent="0.35">
      <c r="B20" s="11" t="s">
        <v>23</v>
      </c>
      <c r="C20" s="11" t="s">
        <v>22</v>
      </c>
      <c r="D20" s="10">
        <v>1</v>
      </c>
      <c r="E20" s="9">
        <f>(50*Quotation34[[#This Row],[Timeframe
(weeks)]])*7</f>
        <v>350</v>
      </c>
    </row>
    <row r="21" spans="2:5" ht="35" customHeight="1" x14ac:dyDescent="0.35">
      <c r="B21" s="11" t="s">
        <v>21</v>
      </c>
      <c r="C21" s="11" t="s">
        <v>20</v>
      </c>
      <c r="D21" s="10">
        <v>2</v>
      </c>
      <c r="E21" s="9">
        <f>(50*Quotation34[[#This Row],[Timeframe
(weeks)]])*7</f>
        <v>700</v>
      </c>
    </row>
    <row r="22" spans="2:5" ht="35" customHeight="1" x14ac:dyDescent="0.35">
      <c r="B22" s="11" t="s">
        <v>19</v>
      </c>
      <c r="C22" s="11" t="s">
        <v>18</v>
      </c>
      <c r="D22" s="10">
        <v>1</v>
      </c>
      <c r="E22" s="9">
        <f>(50*Quotation34[[#This Row],[Timeframe
(weeks)]])*7</f>
        <v>350</v>
      </c>
    </row>
    <row r="23" spans="2:5" ht="35" customHeight="1" x14ac:dyDescent="0.35">
      <c r="B23" s="11" t="s">
        <v>17</v>
      </c>
      <c r="C23" s="11" t="s">
        <v>16</v>
      </c>
      <c r="D23" s="10">
        <v>1</v>
      </c>
      <c r="E23" s="9">
        <f>(50*Quotation34[[#This Row],[Timeframe
(weeks)]])*7</f>
        <v>350</v>
      </c>
    </row>
    <row r="24" spans="2:5" ht="35" customHeight="1" x14ac:dyDescent="0.35">
      <c r="B24" s="11" t="s">
        <v>15</v>
      </c>
      <c r="C24" s="11" t="s">
        <v>14</v>
      </c>
      <c r="D24" s="10">
        <v>1</v>
      </c>
      <c r="E24" s="9">
        <f>(50*Quotation34[[#This Row],[Timeframe
(weeks)]])*7</f>
        <v>350</v>
      </c>
    </row>
    <row r="25" spans="2:5" ht="35" customHeight="1" x14ac:dyDescent="0.35">
      <c r="B25" s="11" t="s">
        <v>13</v>
      </c>
      <c r="C25" s="11" t="s">
        <v>12</v>
      </c>
      <c r="D25" s="10">
        <v>1</v>
      </c>
      <c r="E25" s="9">
        <f>(50*Quotation34[[#This Row],[Timeframe
(weeks)]])*7</f>
        <v>350</v>
      </c>
    </row>
    <row r="26" spans="2:5" ht="35" customHeight="1" x14ac:dyDescent="0.35">
      <c r="B26" s="11" t="s">
        <v>11</v>
      </c>
      <c r="C26" s="11" t="s">
        <v>10</v>
      </c>
      <c r="D26" s="10">
        <v>1.5</v>
      </c>
      <c r="E26" s="9">
        <f>(50*Quotation34[[#This Row],[Timeframe
(weeks)]])*7</f>
        <v>525</v>
      </c>
    </row>
    <row r="27" spans="2:5" ht="35" customHeight="1" x14ac:dyDescent="0.35">
      <c r="B27" s="11" t="s">
        <v>9</v>
      </c>
      <c r="C27" s="11" t="s">
        <v>8</v>
      </c>
      <c r="D27" s="10">
        <v>1</v>
      </c>
      <c r="E27" s="9">
        <f>(50*Quotation34[[#This Row],[Timeframe
(weeks)]])*7</f>
        <v>350</v>
      </c>
    </row>
    <row r="28" spans="2:5" ht="35" customHeight="1" x14ac:dyDescent="0.35">
      <c r="B28" s="11" t="s">
        <v>7</v>
      </c>
      <c r="C28" s="11" t="s">
        <v>6</v>
      </c>
      <c r="D28" s="10">
        <v>1</v>
      </c>
      <c r="E28" s="9">
        <f>(50*Quotation34[[#This Row],[Timeframe
(weeks)]])*7</f>
        <v>350</v>
      </c>
    </row>
    <row r="29" spans="2:5" ht="35" customHeight="1" thickBot="1" x14ac:dyDescent="0.4">
      <c r="B29" s="8" t="s">
        <v>5</v>
      </c>
      <c r="C29" s="8" t="s">
        <v>4</v>
      </c>
      <c r="D29" s="7" t="s">
        <v>3</v>
      </c>
      <c r="E29" s="6">
        <v>100</v>
      </c>
    </row>
    <row r="30" spans="2:5" ht="30" customHeight="1" thickTop="1" x14ac:dyDescent="0.35">
      <c r="B30" s="5"/>
      <c r="C30" s="4" t="s">
        <v>2</v>
      </c>
      <c r="D30" s="3">
        <f>SUM(D15:D28)</f>
        <v>22</v>
      </c>
      <c r="E30" s="2">
        <f>SUBTOTAL(109,Quotation34[AMOUNT
(MYR)])</f>
        <v>7800</v>
      </c>
    </row>
    <row r="31" spans="2:5" ht="30" customHeight="1" x14ac:dyDescent="0.35">
      <c r="B31" s="5"/>
      <c r="C31" s="4"/>
      <c r="D31" s="3"/>
      <c r="E31" s="2"/>
    </row>
    <row r="32" spans="2:5" ht="40" customHeight="1" x14ac:dyDescent="0.35">
      <c r="B32" s="32" t="s">
        <v>1</v>
      </c>
      <c r="C32" s="32"/>
      <c r="D32" s="32"/>
      <c r="E32" s="32"/>
    </row>
    <row r="33" spans="2:5" ht="30" customHeight="1" x14ac:dyDescent="0.35">
      <c r="B33" s="33" t="s">
        <v>0</v>
      </c>
      <c r="C33" s="33"/>
      <c r="D33" s="33"/>
      <c r="E33" s="33"/>
    </row>
  </sheetData>
  <mergeCells count="6">
    <mergeCell ref="B33:E33"/>
    <mergeCell ref="B1:E1"/>
    <mergeCell ref="B2:E2"/>
    <mergeCell ref="B13:C13"/>
    <mergeCell ref="D13:E13"/>
    <mergeCell ref="B32:E32"/>
  </mergeCells>
  <dataValidations count="22">
    <dataValidation allowBlank="1" showInputMessage="1" showErrorMessage="1" prompt="Enter Amount in this column under this heading. Total due is automatically calculated" sqref="E14:E29" xr:uid="{3A8268AF-0016-43B4-843B-E22EA8CAF8CA}"/>
    <dataValidation allowBlank="1" showInputMessage="1" showErrorMessage="1" prompt="Enter Customer ID in cell at right" sqref="C6:E6" xr:uid="{C2FF361F-AFE4-4CB1-B6CD-046A121C53D6}"/>
    <dataValidation allowBlank="1" showInputMessage="1" showErrorMessage="1" prompt="Enter Quotation number in cell at right" sqref="C4:D5 E5" xr:uid="{D83B6120-1DDD-4786-8009-E933E66EAACB}"/>
    <dataValidation allowBlank="1" showInputMessage="1" showErrorMessage="1" prompt="Enter Quotation end date in cell at right" sqref="C7:E7 E4" xr:uid="{3076AB0A-4C25-4AF0-A5CC-4E4187577606}"/>
    <dataValidation allowBlank="1" showInputMessage="1" showErrorMessage="1" prompt="Enter Prepared by name in cell at right" sqref="C8:E8 D9" xr:uid="{DBAFEF7E-8293-427E-8166-F9E0ECA5F0E1}"/>
    <dataValidation allowBlank="1" showInputMessage="1" showErrorMessage="1" prompt="Append company Contact Name, Phone Number, and Email address in this cell" sqref="B32:E32" xr:uid="{DD6896E7-4D2C-4D13-8A38-D4BF99E8963B}"/>
    <dataValidation allowBlank="1" showInputMessage="1" showErrorMessage="1" prompt="Enter custom field in this heading and corresponding data in this column under this heading" sqref="C14:D16 C21:D21 C28:D28" xr:uid="{BBF02473-250F-4C60-9BFC-A8F4DDE322B0}"/>
    <dataValidation allowBlank="1" showInputMessage="1" showErrorMessage="1" prompt="Enter Description in this column under this heading" sqref="B14:B16 B21 B28" xr:uid="{33A9C47E-3BDA-40E9-AB9C-F62BCF25459B}"/>
    <dataValidation allowBlank="1" showInputMessage="1" showErrorMessage="1" prompt="Enter customer Phone number in this cell" sqref="B12:B13" xr:uid="{D38B677F-BB46-45F7-A11C-B09C9EE28789}"/>
    <dataValidation allowBlank="1" showInputMessage="1" showErrorMessage="1" prompt="Title of this worksheet is in this cell. Enter Date, Quotation Number, and Customer ID in cells D2 through D4" sqref="E3:F3" xr:uid="{3A0543EE-131E-4139-A7F6-FC58386DF6DA}"/>
    <dataValidation allowBlank="1" showInputMessage="1" showErrorMessage="1" prompt="Create a Price quotation without tax in this worksheet. Enter company, customer, quotation, and product details. Total due is automatically calculated" sqref="A4" xr:uid="{D33BB75E-991B-43C1-B526-A19BD8BEEE5E}"/>
    <dataValidation allowBlank="1" showInputMessage="1" showErrorMessage="1" prompt="Enter Customer ID in this cell" sqref="E6" xr:uid="{69908B88-A52A-459B-93C9-CF1BC54E2BA3}"/>
    <dataValidation allowBlank="1" showInputMessage="1" showErrorMessage="1" prompt="Enter quotation Date in this cell" sqref="E5" xr:uid="{AEE8C76F-8267-4AEE-AB82-EB66FDFB5297}"/>
    <dataValidation allowBlank="1" showInputMessage="1" showErrorMessage="1" prompt="Enter Company Name in this cell and slogan in cell below. Quotation title is in cell at right" sqref="B1" xr:uid="{EDA89CCC-19DB-431F-A164-CF74ADACF6B1}"/>
    <dataValidation allowBlank="1" showInputMessage="1" showErrorMessage="1" prompt="Enter Company Slogan in this cell and company address in cells below, from cell B3 through B5" sqref="B5" xr:uid="{166A4B77-B4F8-4CC5-8152-DCAB81EDC716}"/>
    <dataValidation allowBlank="1" showInputMessage="1" showErrorMessage="1" prompt="Enter Quotation end date in this cell" sqref="E7 E4" xr:uid="{CABAD643-1A69-4183-B17B-E238AAF30F83}"/>
    <dataValidation allowBlank="1" showInputMessage="1" showErrorMessage="1" prompt="Enter Prepared by name in this cell" sqref="E8" xr:uid="{1278F714-A8E2-406D-B18C-E1DFD46C3AC2}"/>
    <dataValidation allowBlank="1" showInputMessage="1" showErrorMessage="1" prompt="Enter Bill To details in cells B7 through B11, Quotation end date in cell D6, and Prepared by name in cell D7" sqref="B7" xr:uid="{B35E8AFA-9E1C-4F9C-9220-1AB917495200}"/>
    <dataValidation allowBlank="1" showInputMessage="1" showErrorMessage="1" prompt="Enter customer Name in this cell" sqref="B8" xr:uid="{C40F7E21-C413-4F9F-87E0-029D500B03DE}"/>
    <dataValidation allowBlank="1" showInputMessage="1" showErrorMessage="1" prompt="Enter customer Company Name in this cell" sqref="B9" xr:uid="{0B1D7DC9-6451-4AED-938A-662576A50FDD}"/>
    <dataValidation allowBlank="1" showInputMessage="1" showErrorMessage="1" prompt="Enter customer Street Address in this cell" sqref="B10" xr:uid="{10E870DF-D914-408C-A439-528D99828DC0}"/>
    <dataValidation allowBlank="1" showInputMessage="1" showErrorMessage="1" prompt="Enter customer City, State, and Zip Code in this cell" sqref="B11" xr:uid="{23437D8F-ED1F-404A-974D-BAE60C3612AA}"/>
  </dataValidations>
  <printOptions horizontalCentered="1"/>
  <pageMargins left="0.5" right="0.5" top="0.5" bottom="0.5" header="0.5" footer="0.5"/>
  <pageSetup scale="66" orientation="portrait" r:id="rId1"/>
  <headerFooter differentFirst="1">
    <oddFooter>Page &amp;P of &amp;N</oddFooter>
  </headerFooter>
  <rowBreaks count="1" manualBreakCount="1">
    <brk id="33" max="16383" man="1"/>
  </rowBreaks>
  <colBreaks count="1" manualBreakCount="1">
    <brk id="1" max="1048575" man="1"/>
  </colBreak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PurchaseOrder(PO)</vt:lpstr>
      <vt:lpstr>'PurchaseOrder(PO)'!ColumnTitle1</vt:lpstr>
      <vt:lpstr>'PurchaseOrder(PO)'!ColumnTitleRegion1..B11.1</vt:lpstr>
      <vt:lpstr>'PurchaseOrder(PO)'!Print_Area</vt:lpstr>
      <vt:lpstr>'PurchaseOrder(PO)'!Print_Titles</vt:lpstr>
      <vt:lpstr>'PurchaseOrder(PO)'!RowTitleRegion1..D4</vt:lpstr>
      <vt:lpstr>'PurchaseOrder(PO)'!RowTitleRegion2..D7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alanchian6827</dc:creator>
  <cp:lastModifiedBy>alanchian6827</cp:lastModifiedBy>
  <cp:lastPrinted>2024-12-09T15:03:41Z</cp:lastPrinted>
  <dcterms:created xsi:type="dcterms:W3CDTF">2024-12-09T14:57:13Z</dcterms:created>
  <dcterms:modified xsi:type="dcterms:W3CDTF">2024-12-09T15:11:51Z</dcterms:modified>
</cp:coreProperties>
</file>