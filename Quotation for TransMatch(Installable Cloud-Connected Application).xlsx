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Alanchian\Software_Development\TransMatch\"/>
    </mc:Choice>
  </mc:AlternateContent>
  <xr:revisionPtr revIDLastSave="0" documentId="13_ncr:1_{5CED61D5-EB35-4229-AA7C-DF7E2EE1FCE7}" xr6:coauthVersionLast="47" xr6:coauthVersionMax="47" xr10:uidLastSave="{00000000-0000-0000-0000-000000000000}"/>
  <bookViews>
    <workbookView xWindow="0" yWindow="0" windowWidth="25600" windowHeight="13680" xr2:uid="{00000000-000D-0000-FFFF-FFFF00000000}"/>
  </bookViews>
  <sheets>
    <sheet name="Quotation-New" sheetId="2" r:id="rId1"/>
    <sheet name="Quotation-old" sheetId="1" r:id="rId2"/>
  </sheets>
  <definedNames>
    <definedName name="ColumnTitle1" localSheetId="0">Quotation3[[#Headers],[Module]]</definedName>
    <definedName name="ColumnTitle1">Quotation[[#Headers],[Module]]</definedName>
    <definedName name="ColumnTitleRegion1..B11.1" localSheetId="0">'Quotation-New'!$B$7</definedName>
    <definedName name="ColumnTitleRegion1..B11.1">'Quotation-old'!$B$7</definedName>
    <definedName name="_xlnm.Print_Area" localSheetId="0">'Quotation-New'!$B$1:$E$31</definedName>
    <definedName name="_xlnm.Print_Area" localSheetId="1">'Quotation-old'!$B$1:$E$35</definedName>
    <definedName name="_xlnm.Print_Titles" localSheetId="0">'Quotation-New'!$14:$14</definedName>
    <definedName name="_xlnm.Print_Titles" localSheetId="1">'Quotation-old'!$14:$14</definedName>
    <definedName name="RowTitleRegion1..D4" localSheetId="0">'Quotation-New'!$C$4</definedName>
    <definedName name="RowTitleRegion1..D4">'Quotation-old'!$C$4</definedName>
    <definedName name="RowTitleRegion2..D7" localSheetId="0">'Quotation-New'!$C$7</definedName>
    <definedName name="RowTitleRegion2..D7">'Quotation-old'!$C$7</definedName>
    <definedName name="RowTitleRegion3..C12" localSheetId="0">'Quotation-New'!#REF!</definedName>
    <definedName name="RowTitleRegion3..C12">'Quotation-old'!#REF!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15" i="2"/>
  <c r="D29" i="2"/>
  <c r="E16" i="1" l="1"/>
  <c r="E17" i="1"/>
  <c r="E18" i="1"/>
  <c r="E19" i="1"/>
  <c r="E20" i="1"/>
  <c r="E21" i="1"/>
  <c r="E22" i="1"/>
  <c r="E32" i="1"/>
  <c r="D33" i="1"/>
  <c r="D23" i="1"/>
  <c r="E31" i="1"/>
  <c r="E30" i="1"/>
  <c r="E29" i="1"/>
  <c r="E28" i="1"/>
  <c r="E27" i="1"/>
  <c r="E26" i="1"/>
  <c r="E15" i="1"/>
  <c r="E33" i="1" l="1"/>
  <c r="E23" i="1"/>
</calcChain>
</file>

<file path=xl/sharedStrings.xml><?xml version="1.0" encoding="utf-8"?>
<sst xmlns="http://schemas.openxmlformats.org/spreadsheetml/2006/main" count="118" uniqueCount="58">
  <si>
    <t>Quotation</t>
  </si>
  <si>
    <t>Quotation valid until:</t>
  </si>
  <si>
    <t>Prepared by:</t>
  </si>
  <si>
    <t>Description</t>
  </si>
  <si>
    <t>Bill To:</t>
  </si>
  <si>
    <t xml:space="preserve">TOTAL  </t>
  </si>
  <si>
    <t>THANK YOU FOR YOUR BUSINESS!</t>
  </si>
  <si>
    <t>CHIAN WEILON</t>
  </si>
  <si>
    <t>WONG EUWIN</t>
  </si>
  <si>
    <t>-</t>
  </si>
  <si>
    <t>QT00001</t>
  </si>
  <si>
    <t xml:space="preserve">Company Name: - </t>
  </si>
  <si>
    <t xml:space="preserve">Street Address: - </t>
  </si>
  <si>
    <t xml:space="preserve">City &amp; ZIP Code: - </t>
  </si>
  <si>
    <r>
      <t xml:space="preserve">No6, Jalan 7/1a Taman Kepong Indah
52100, Kuala Lumpur, Malaysia
</t>
    </r>
    <r>
      <rPr>
        <sz val="10"/>
        <rFont val="Arial"/>
        <family val="2"/>
        <scheme val="minor"/>
      </rPr>
      <t>Tel: +6018-2577587 | Email: alanchian93@gmail.com</t>
    </r>
  </si>
  <si>
    <t>Quotation Date :</t>
  </si>
  <si>
    <t>Quotation ID :</t>
  </si>
  <si>
    <t>Customer ID :</t>
  </si>
  <si>
    <t>Module</t>
  </si>
  <si>
    <t>Data Import and Parsing</t>
  </si>
  <si>
    <t>Supports importing customer lists and bank statements (.pdf, .xlsx, csv)</t>
  </si>
  <si>
    <t>Phone        :   +60 16-284 3121</t>
  </si>
  <si>
    <t>Customer Info Mapping</t>
  </si>
  <si>
    <t>Map and Display detailed customer information and transaction records</t>
  </si>
  <si>
    <t>Search Functionality</t>
  </si>
  <si>
    <t>Quickly search by keywords or customer names</t>
  </si>
  <si>
    <t>UI Design and Software Frame Development</t>
  </si>
  <si>
    <t>Offline-ready interface design &amp; Database storage design</t>
  </si>
  <si>
    <t>System Integration and Testing</t>
  </si>
  <si>
    <t>Integrate modules and perform functionality testing</t>
  </si>
  <si>
    <t>Business Requirement Refinement</t>
  </si>
  <si>
    <t>Analyze client requirements, define software goals, and plan development</t>
  </si>
  <si>
    <t>AMOUNT
(MYR)</t>
  </si>
  <si>
    <t>Timeframe
(weeks)</t>
  </si>
  <si>
    <t>Photo Upload Module</t>
  </si>
  <si>
    <t>Supports photo file upload (JPG, PNG)</t>
  </si>
  <si>
    <t>OCR Function Implementation</t>
  </si>
  <si>
    <t>Extract text from images using OCR</t>
  </si>
  <si>
    <t>OCR Data Enrichment</t>
  </si>
  <si>
    <t>Allow customers to edit and correct OCR data via the frontend</t>
  </si>
  <si>
    <t>Security and Encryption</t>
  </si>
  <si>
    <t>Strengthen local data storage security and permissions</t>
  </si>
  <si>
    <t>Local Backup and Recovery</t>
  </si>
  <si>
    <t>Provide offline data backup and recovery options</t>
  </si>
  <si>
    <t>User Matrix Control</t>
  </si>
  <si>
    <t>Implement role-based access control for managing user permissions</t>
  </si>
  <si>
    <t>Pre-Deployment Screen Demonstration</t>
  </si>
  <si>
    <t>Provide an interactive demo to review the UI/UX and functionalities before final deployment</t>
  </si>
  <si>
    <t>Report Module</t>
  </si>
  <si>
    <t>Export matched data between customer records and bank statements into an Excel file</t>
  </si>
  <si>
    <t>To            :   WONG EUWIN</t>
  </si>
  <si>
    <t>Business Insight Visualization</t>
  </si>
  <si>
    <t>Generate graphical representations or rankings based on customer statistics for better business analysis</t>
  </si>
  <si>
    <t>(Optional Service Package)</t>
  </si>
  <si>
    <t>If you have any inquiries or require clarification regarding this quotation, please do not hesitate to contact us 
via the provided phone number or email address.</t>
  </si>
  <si>
    <r>
      <t xml:space="preserve">*Professional Service Fee: RM 50 per man-day
</t>
    </r>
    <r>
      <rPr>
        <i/>
        <sz val="7"/>
        <rFont val="Arial"/>
        <family val="2"/>
        <scheme val="minor"/>
      </rPr>
      <t>(labor fees under market value)</t>
    </r>
  </si>
  <si>
    <r>
      <rPr>
        <b/>
        <sz val="9"/>
        <rFont val="Arial"/>
        <family val="2"/>
        <scheme val="minor"/>
      </rPr>
      <t>Matter</t>
    </r>
    <r>
      <rPr>
        <sz val="9"/>
        <rFont val="Arial"/>
        <family val="2"/>
        <scheme val="minor"/>
      </rPr>
      <t>: Quotation for Customer Screening Software Application (Installable Application)</t>
    </r>
  </si>
  <si>
    <t>Matter: Quotation for Customer Screening Software Application (Installable Cloud-Connected Application)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</si>
</sst>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  <numFmt numFmtId="167" formatCode="_-[$MYR]\ * #,##0.00_-;\-[$MYR]\ * #,##0.00_-;_-[$MYR]\ * &quot;-&quot;??_-;_-@_-"/>
  </numFmts>
  <fonts count="15" x14ac:knownFonts="1">
    <font>
      <sz val="11"/>
      <name val="Arial"/>
      <family val="2"/>
      <scheme val="minor"/>
    </font>
    <font>
      <b/>
      <sz val="10"/>
      <name val="Arial"/>
      <family val="2"/>
    </font>
    <font>
      <b/>
      <sz val="1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28"/>
      <color theme="0" tint="-0.499984740745262"/>
      <name val="Arial"/>
      <family val="2"/>
      <scheme val="major"/>
    </font>
    <font>
      <b/>
      <i/>
      <sz val="11"/>
      <name val="Arial"/>
      <family val="2"/>
      <scheme val="minor"/>
    </font>
    <font>
      <b/>
      <sz val="11"/>
      <name val="Arial"/>
      <family val="2"/>
      <scheme val="minor"/>
    </font>
    <font>
      <i/>
      <sz val="11"/>
      <name val="Arial"/>
      <family val="2"/>
      <scheme val="minor"/>
    </font>
    <font>
      <sz val="10"/>
      <name val="Arial"/>
      <family val="2"/>
      <scheme val="minor"/>
    </font>
    <font>
      <sz val="22"/>
      <color theme="0" tint="-0.499984740745262"/>
      <name val="Arial"/>
      <family val="2"/>
      <scheme val="major"/>
    </font>
    <font>
      <sz val="7"/>
      <name val="Arial"/>
      <family val="2"/>
      <scheme val="minor"/>
    </font>
    <font>
      <i/>
      <sz val="7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</borders>
  <cellStyleXfs count="15">
    <xf numFmtId="0" fontId="0" fillId="0" borderId="0">
      <alignment horizontal="left" wrapText="1"/>
    </xf>
    <xf numFmtId="164" fontId="4" fillId="0" borderId="0" applyFont="0" applyFill="0" applyBorder="0" applyProtection="0">
      <alignment horizontal="right"/>
    </xf>
    <xf numFmtId="0" fontId="5" fillId="0" borderId="0">
      <alignment horizontal="right"/>
    </xf>
    <xf numFmtId="0" fontId="2" fillId="0" borderId="0">
      <alignment horizontal="left" wrapText="1"/>
    </xf>
    <xf numFmtId="0" fontId="7" fillId="0" borderId="0">
      <alignment horizontal="right" indent="1"/>
    </xf>
    <xf numFmtId="0" fontId="7" fillId="0" borderId="0">
      <alignment horizontal="left" vertical="top"/>
    </xf>
    <xf numFmtId="0" fontId="8" fillId="0" borderId="0">
      <alignment horizontal="right" indent="1"/>
    </xf>
    <xf numFmtId="0" fontId="7" fillId="0" borderId="0">
      <alignment horizontal="center" wrapText="1"/>
    </xf>
    <xf numFmtId="0" fontId="6" fillId="0" borderId="0">
      <alignment vertical="top" wrapText="1"/>
    </xf>
    <xf numFmtId="0" fontId="3" fillId="0" borderId="0">
      <alignment horizontal="right" indent="1"/>
    </xf>
    <xf numFmtId="166" fontId="4" fillId="0" borderId="0" applyFont="0" applyFill="0" applyBorder="0" applyProtection="0">
      <alignment horizontal="left" vertical="top" wrapText="1"/>
    </xf>
    <xf numFmtId="165" fontId="4" fillId="0" borderId="0" applyFont="0" applyFill="0" applyBorder="0" applyAlignment="0" applyProtection="0">
      <alignment horizontal="left"/>
    </xf>
    <xf numFmtId="0" fontId="4" fillId="0" borderId="0">
      <alignment horizontal="left" vertical="top" wrapText="1"/>
    </xf>
    <xf numFmtId="0" fontId="4" fillId="0" borderId="0" applyNumberFormat="0" applyFill="0" applyBorder="0" applyProtection="0">
      <alignment horizontal="left" wrapText="1"/>
    </xf>
    <xf numFmtId="0" fontId="4" fillId="0" borderId="0" applyNumberFormat="0" applyFill="0" applyBorder="0" applyAlignment="0" applyProtection="0">
      <alignment horizontal="left"/>
    </xf>
  </cellStyleXfs>
  <cellXfs count="49">
    <xf numFmtId="0" fontId="0" fillId="0" borderId="0" xfId="0">
      <alignment horizontal="left" wrapText="1"/>
    </xf>
    <xf numFmtId="165" fontId="0" fillId="0" borderId="0" xfId="11" applyFont="1">
      <alignment horizontal="left"/>
    </xf>
    <xf numFmtId="0" fontId="6" fillId="0" borderId="0" xfId="8">
      <alignment vertical="top" wrapText="1"/>
    </xf>
    <xf numFmtId="0" fontId="7" fillId="0" borderId="0" xfId="5">
      <alignment horizontal="left" vertical="top"/>
    </xf>
    <xf numFmtId="0" fontId="8" fillId="0" borderId="0" xfId="6">
      <alignment horizontal="right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0" borderId="0" xfId="2" applyAlignment="1"/>
    <xf numFmtId="0" fontId="7" fillId="0" borderId="0" xfId="4" applyAlignment="1">
      <alignment horizontal="right" vertical="center"/>
    </xf>
    <xf numFmtId="0" fontId="0" fillId="0" borderId="3" xfId="0" applyBorder="1">
      <alignment horizontal="left" wrapText="1"/>
    </xf>
    <xf numFmtId="166" fontId="0" fillId="0" borderId="3" xfId="10" applyFont="1" applyBorder="1">
      <alignment horizontal="left" vertical="top" wrapText="1"/>
    </xf>
    <xf numFmtId="0" fontId="10" fillId="0" borderId="0" xfId="2" applyFont="1" applyAlignment="1">
      <alignment vertical="center"/>
    </xf>
    <xf numFmtId="0" fontId="10" fillId="0" borderId="4" xfId="2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4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 inden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 indent="1"/>
    </xf>
    <xf numFmtId="167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 indent="1"/>
    </xf>
    <xf numFmtId="0" fontId="0" fillId="0" borderId="14" xfId="0" applyBorder="1" applyAlignment="1">
      <alignment horizontal="left" vertical="center" wrapText="1" indent="1"/>
    </xf>
    <xf numFmtId="0" fontId="3" fillId="0" borderId="0" xfId="9" applyAlignment="1">
      <alignment horizontal="left"/>
    </xf>
    <xf numFmtId="164" fontId="0" fillId="0" borderId="0" xfId="1" applyFont="1" applyAlignment="1">
      <alignment horizontal="left"/>
    </xf>
    <xf numFmtId="0" fontId="0" fillId="0" borderId="0" xfId="0" applyAlignment="1">
      <alignment horizontal="center" wrapText="1"/>
    </xf>
    <xf numFmtId="167" fontId="0" fillId="0" borderId="15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7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7" fillId="0" borderId="0" xfId="7">
      <alignment horizontal="center" wrapText="1"/>
    </xf>
    <xf numFmtId="0" fontId="2" fillId="0" borderId="0" xfId="3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11" fillId="0" borderId="5" xfId="0" applyFont="1" applyBorder="1" applyAlignment="1">
      <alignment horizontal="right" wrapText="1"/>
    </xf>
    <xf numFmtId="0" fontId="0" fillId="0" borderId="0" xfId="0" applyAlignment="1">
      <alignment horizontal="center" wrapText="1"/>
    </xf>
    <xf numFmtId="166" fontId="13" fillId="0" borderId="5" xfId="10" applyFont="1" applyBorder="1" applyAlignment="1">
      <alignment horizontal="left" vertical="center" wrapText="1"/>
    </xf>
  </cellXfs>
  <cellStyles count="15">
    <cellStyle name="Comments" xfId="12" xr:uid="{00000000-0005-0000-0000-000000000000}"/>
    <cellStyle name="Currency" xfId="1" builtinId="4" customBuiltin="1"/>
    <cellStyle name="Date" xfId="11" xr:uid="{00000000-0005-0000-0000-000002000000}"/>
    <cellStyle name="Explanatory Text" xfId="8" builtinId="53" customBuiltin="1"/>
    <cellStyle name="Followed Hyperlink" xfId="14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3" builtinId="8" customBuiltin="1"/>
    <cellStyle name="Normal" xfId="0" builtinId="0" customBuiltin="1"/>
    <cellStyle name="Note" xfId="7" builtinId="10" customBuiltin="1"/>
    <cellStyle name="Phone" xfId="10" xr:uid="{00000000-0005-0000-0000-00000C000000}"/>
    <cellStyle name="Title" xfId="2" builtinId="15" customBuiltin="1"/>
    <cellStyle name="Total" xfId="9" builtinId="25" customBuiltin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7" formatCode="_-[$MYR]\ * #,##0.00_-;\-[$MYR]\ * #,##0.00_-;_-[$MYR]\ * &quot;-&quot;??_-;_-@_-"/>
      <alignment horizontal="right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1" indent="1" justifyLastLine="0" shrinkToFit="0" readingOrder="0"/>
      <border diagonalUp="0" diagonalDown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7" formatCode="_-[$MYR]\ * #,##0.00_-;\-[$MYR]\ * #,##0.00_-;_-[$MYR]\ * &quot;-&quot;??_-;_-@_-"/>
      <alignment horizontal="right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MYR]\ * #,##0.00_-;\-[$MYR]\ * #,##0.00_-;_-[$MYR]\ * &quot;-&quot;??_-;_-@_-"/>
      <alignment horizontal="right" vertical="center" textRotation="0" wrapText="0" indent="0" justifyLastLine="0" shrinkToFit="0" readingOrder="0"/>
    </dxf>
    <dxf>
      <numFmt numFmtId="167" formatCode="_-[$MYR]\ * #,##0.00_-;\-[$MYR]\ * #,##0.00_-;_-[$MYR]\ * &quot;-&quot;??_-;_-@_-"/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b val="0"/>
        <i val="0"/>
        <color theme="1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  <color auto="1"/>
      </font>
      <fill>
        <patternFill patternType="solid">
          <fgColor theme="1"/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Price quotation without tax" defaultPivotStyle="PivotStyleLight16">
    <tableStyle name="Price quotation without tax" pivot="0" count="5" xr9:uid="{00000000-0011-0000-FFFF-FFFF00000000}">
      <tableStyleElement type="wholeTable" dxfId="31"/>
      <tableStyleElement type="headerRow" dxfId="30"/>
      <tableStyleElement type="totalRow" dxfId="29"/>
      <tableStyleElement type="lastColumn" dxfId="28"/>
      <tableStyleElement type="lastTotalCell" dxfId="2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EA85A-DD6A-49CB-90FF-1B08C4740FA0}" name="Quotation3" displayName="Quotation3" ref="B14:E29" totalsRowCount="1" headerRowDxfId="26">
  <tableColumns count="4">
    <tableColumn id="1" xr3:uid="{B2FA79F0-5A6E-453E-B7B4-421B4C59079D}" name="Module" dataDxfId="25" totalsRowDxfId="24" dataCellStyle="Normal"/>
    <tableColumn id="2" xr3:uid="{0600527E-28BD-41D4-BEB9-0D93C15ECF33}" name="Description" totalsRowLabel="TOTAL  " dataDxfId="23" totalsRowDxfId="22" dataCellStyle="Normal"/>
    <tableColumn id="6" xr3:uid="{F4E7CD70-2131-47CA-8D15-0FEC390FE1FF}" name="Timeframe_x000a_(weeks)" totalsRowFunction="custom" dataDxfId="21" totalsRowDxfId="20">
      <totalsRowFormula>SUM(D15:D28)</totalsRowFormula>
    </tableColumn>
    <tableColumn id="3" xr3:uid="{9EB80E22-C18F-48EB-8D46-D192B92607DE}" name="AMOUNT_x000a_(MYR)" totalsRowFunction="sum" dataDxfId="19" totalsRowDxfId="18" dataCellStyle="Currency">
      <calculatedColumnFormula>(50*Quotation3[[#This Row],[Timeframe
(weeks)]])*7</calculatedColumnFormula>
    </tableColumn>
  </tableColumns>
  <tableStyleInfo name="Price quotation without tax" showFirstColumn="0" showLastColumn="1" showRowStripes="0" showColumnStripes="0"/>
  <extLst>
    <ext xmlns:x14="http://schemas.microsoft.com/office/spreadsheetml/2009/9/main" uri="{504A1905-F514-4f6f-8877-14C23A59335A}">
      <x14:table altTextSummary="Enter Description and Amount in this table. Total due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otation" displayName="Quotation" ref="B14:E23" totalsRowCount="1" headerRowDxfId="17">
  <tableColumns count="4">
    <tableColumn id="1" xr3:uid="{00000000-0010-0000-0000-000001000000}" name="Module" dataDxfId="16" totalsRowDxfId="15" dataCellStyle="Normal"/>
    <tableColumn id="2" xr3:uid="{00000000-0010-0000-0000-000002000000}" name="Description" totalsRowLabel="TOTAL  " dataDxfId="14" totalsRowDxfId="13" dataCellStyle="Normal"/>
    <tableColumn id="6" xr3:uid="{556C2B9E-443F-423B-8856-41933772EE8F}" name="Timeframe_x000a_(weeks)" totalsRowFunction="custom" dataDxfId="12" totalsRowDxfId="11">
      <totalsRowFormula>SUM(D15:D22)</totalsRowFormula>
    </tableColumn>
    <tableColumn id="3" xr3:uid="{00000000-0010-0000-0000-000003000000}" name="AMOUNT_x000a_(MYR)" totalsRowFunction="sum" dataDxfId="10" totalsRowDxfId="9" dataCellStyle="Currency">
      <calculatedColumnFormula>(50*Quotation[[#This Row],[Timeframe
(weeks)]])*7</calculatedColumnFormula>
    </tableColumn>
  </tableColumns>
  <tableStyleInfo name="Price quotation without tax" showFirstColumn="0" showLastColumn="1" showRowStripes="0" showColumnStripes="0"/>
  <extLst>
    <ext xmlns:x14="http://schemas.microsoft.com/office/spreadsheetml/2009/9/main" uri="{504A1905-F514-4f6f-8877-14C23A59335A}">
      <x14:table altTextSummary="Enter Description and Amount in this table. Total due is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796BA7-910F-4A99-B3E3-86A867E0225B}" name="Quotation6" displayName="Quotation6" ref="B25:E33" totalsRowCount="1" headerRowDxfId="8">
  <tableColumns count="4">
    <tableColumn id="1" xr3:uid="{4D52E9AB-3B19-45D1-B475-DE5AB95D02BA}" name="Module" dataDxfId="7" totalsRowDxfId="6" dataCellStyle="Normal"/>
    <tableColumn id="2" xr3:uid="{6C8EA284-358C-4B1D-8C5F-DBC740576C2A}" name="Description" totalsRowLabel="TOTAL  " dataDxfId="5" totalsRowDxfId="4" dataCellStyle="Normal"/>
    <tableColumn id="6" xr3:uid="{93864878-84F1-4931-A001-594B75EBCB2C}" name="Timeframe_x000a_(weeks)" totalsRowFunction="custom" dataDxfId="3" totalsRowDxfId="2">
      <totalsRowFormula>SUM(D26:D32)</totalsRowFormula>
    </tableColumn>
    <tableColumn id="3" xr3:uid="{4B5E9654-9D5C-45B7-B486-3944F00FC4FB}" name="AMOUNT_x000a_(MYR)" totalsRowFunction="sum" dataDxfId="1" totalsRowDxfId="0" dataCellStyle="Currency">
      <calculatedColumnFormula>(50*Quotation6[[#This Row],[Timeframe
(weeks)]])*7</calculatedColumnFormula>
    </tableColumn>
  </tableColumns>
  <tableStyleInfo name="Price quotation without tax" showFirstColumn="0" showLastColumn="1" showRowStripes="0" showColumnStripes="0"/>
  <extLst>
    <ext xmlns:x14="http://schemas.microsoft.com/office/spreadsheetml/2009/9/main" uri="{504A1905-F514-4f6f-8877-14C23A59335A}">
      <x14:table altTextSummary="Enter Description and Amount in this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232C-2CB7-4C9D-8E35-70724F38BAC7}">
  <sheetPr>
    <tabColor theme="4"/>
    <pageSetUpPr fitToPage="1"/>
  </sheetPr>
  <dimension ref="B1:F31"/>
  <sheetViews>
    <sheetView showGridLines="0" tabSelected="1" zoomScaleNormal="100" workbookViewId="0">
      <selection activeCell="H11" sqref="H11"/>
    </sheetView>
  </sheetViews>
  <sheetFormatPr defaultRowHeight="30" customHeight="1" x14ac:dyDescent="0.3"/>
  <cols>
    <col min="1" max="1" width="2.4140625" customWidth="1"/>
    <col min="2" max="2" width="30.6640625" customWidth="1"/>
    <col min="3" max="3" width="45.6640625" customWidth="1"/>
    <col min="4" max="5" width="18.6640625" customWidth="1"/>
    <col min="6" max="6" width="2.58203125" customWidth="1"/>
  </cols>
  <sheetData>
    <row r="1" spans="2:6" ht="30" customHeight="1" x14ac:dyDescent="0.3">
      <c r="B1" s="44" t="s">
        <v>7</v>
      </c>
      <c r="C1" s="44"/>
      <c r="D1" s="44"/>
      <c r="E1" s="44"/>
    </row>
    <row r="2" spans="2:6" ht="42" customHeight="1" thickBot="1" x14ac:dyDescent="0.35">
      <c r="B2" s="45" t="s">
        <v>14</v>
      </c>
      <c r="C2" s="45"/>
      <c r="D2" s="45"/>
      <c r="E2" s="45"/>
    </row>
    <row r="3" spans="2:6" ht="30" customHeight="1" thickTop="1" x14ac:dyDescent="0.7">
      <c r="B3" s="33" t="s">
        <v>50</v>
      </c>
      <c r="C3" s="11"/>
      <c r="E3" s="12" t="s">
        <v>0</v>
      </c>
      <c r="F3" s="7"/>
    </row>
    <row r="4" spans="2:6" ht="15" customHeight="1" x14ac:dyDescent="0.3">
      <c r="C4" s="8"/>
      <c r="D4" s="8" t="s">
        <v>15</v>
      </c>
      <c r="E4" s="1">
        <v>45635</v>
      </c>
    </row>
    <row r="5" spans="2:6" ht="15" customHeight="1" x14ac:dyDescent="0.3">
      <c r="B5" s="2"/>
      <c r="C5" s="8"/>
      <c r="D5" s="8" t="s">
        <v>16</v>
      </c>
      <c r="E5" s="1" t="s">
        <v>10</v>
      </c>
    </row>
    <row r="6" spans="2:6" ht="27.65" customHeight="1" x14ac:dyDescent="0.3">
      <c r="B6" s="19" t="s">
        <v>21</v>
      </c>
      <c r="C6" s="18"/>
      <c r="D6" s="18" t="s">
        <v>17</v>
      </c>
      <c r="E6" s="6" t="s">
        <v>9</v>
      </c>
    </row>
    <row r="7" spans="2:6" ht="15" customHeight="1" x14ac:dyDescent="0.35">
      <c r="B7" s="3" t="s">
        <v>4</v>
      </c>
      <c r="C7" s="4"/>
      <c r="D7" s="4" t="s">
        <v>1</v>
      </c>
      <c r="E7" s="1">
        <v>45658</v>
      </c>
    </row>
    <row r="8" spans="2:6" ht="30" customHeight="1" x14ac:dyDescent="0.35">
      <c r="B8" t="s">
        <v>8</v>
      </c>
      <c r="C8" s="4"/>
      <c r="D8" s="4" t="s">
        <v>2</v>
      </c>
      <c r="E8" t="s">
        <v>7</v>
      </c>
    </row>
    <row r="9" spans="2:6" ht="14" x14ac:dyDescent="0.3">
      <c r="B9" t="s">
        <v>11</v>
      </c>
    </row>
    <row r="10" spans="2:6" ht="14" x14ac:dyDescent="0.3">
      <c r="B10" t="s">
        <v>12</v>
      </c>
    </row>
    <row r="11" spans="2:6" ht="14" x14ac:dyDescent="0.3">
      <c r="B11" t="s">
        <v>13</v>
      </c>
    </row>
    <row r="12" spans="2:6" ht="14.5" thickBot="1" x14ac:dyDescent="0.35">
      <c r="B12" s="10"/>
      <c r="C12" s="9"/>
      <c r="D12" s="9"/>
      <c r="E12" s="9"/>
    </row>
    <row r="13" spans="2:6" ht="35" customHeight="1" x14ac:dyDescent="0.3">
      <c r="B13" s="48" t="s">
        <v>57</v>
      </c>
      <c r="C13" s="48"/>
      <c r="D13" s="46" t="s">
        <v>55</v>
      </c>
      <c r="E13" s="46"/>
    </row>
    <row r="14" spans="2:6" ht="30" customHeight="1" x14ac:dyDescent="0.3">
      <c r="B14" s="39" t="s">
        <v>18</v>
      </c>
      <c r="C14" s="39" t="s">
        <v>3</v>
      </c>
      <c r="D14" s="13" t="s">
        <v>33</v>
      </c>
      <c r="E14" s="13" t="s">
        <v>32</v>
      </c>
    </row>
    <row r="15" spans="2:6" ht="35" customHeight="1" x14ac:dyDescent="0.3">
      <c r="B15" s="14" t="s">
        <v>30</v>
      </c>
      <c r="C15" s="14" t="s">
        <v>31</v>
      </c>
      <c r="D15" s="40">
        <v>1</v>
      </c>
      <c r="E15" s="41">
        <f>(50*Quotation3[[#This Row],[Timeframe
(weeks)]])*7</f>
        <v>350</v>
      </c>
    </row>
    <row r="16" spans="2:6" ht="35" customHeight="1" x14ac:dyDescent="0.3">
      <c r="B16" s="14" t="s">
        <v>46</v>
      </c>
      <c r="C16" s="14" t="s">
        <v>47</v>
      </c>
      <c r="D16" s="40">
        <v>1.5</v>
      </c>
      <c r="E16" s="41">
        <f>(50*Quotation3[[#This Row],[Timeframe
(weeks)]])*7</f>
        <v>525</v>
      </c>
    </row>
    <row r="17" spans="2:5" ht="35" customHeight="1" x14ac:dyDescent="0.3">
      <c r="B17" s="14" t="s">
        <v>26</v>
      </c>
      <c r="C17" s="14" t="s">
        <v>27</v>
      </c>
      <c r="D17" s="13">
        <v>4</v>
      </c>
      <c r="E17" s="41">
        <f>(50*Quotation3[[#This Row],[Timeframe
(weeks)]])*7</f>
        <v>1400</v>
      </c>
    </row>
    <row r="18" spans="2:5" ht="35" customHeight="1" x14ac:dyDescent="0.3">
      <c r="B18" s="14" t="s">
        <v>19</v>
      </c>
      <c r="C18" s="14" t="s">
        <v>20</v>
      </c>
      <c r="D18" s="13">
        <v>2</v>
      </c>
      <c r="E18" s="41">
        <f>(50*Quotation3[[#This Row],[Timeframe
(weeks)]])*7</f>
        <v>700</v>
      </c>
    </row>
    <row r="19" spans="2:5" ht="35" customHeight="1" x14ac:dyDescent="0.3">
      <c r="B19" s="14" t="s">
        <v>22</v>
      </c>
      <c r="C19" s="14" t="s">
        <v>23</v>
      </c>
      <c r="D19" s="13">
        <v>3</v>
      </c>
      <c r="E19" s="41">
        <f>(50*Quotation3[[#This Row],[Timeframe
(weeks)]])*7</f>
        <v>1050</v>
      </c>
    </row>
    <row r="20" spans="2:5" ht="35" customHeight="1" x14ac:dyDescent="0.3">
      <c r="B20" s="14" t="s">
        <v>24</v>
      </c>
      <c r="C20" s="14" t="s">
        <v>25</v>
      </c>
      <c r="D20" s="13">
        <v>1</v>
      </c>
      <c r="E20" s="41">
        <f>(50*Quotation3[[#This Row],[Timeframe
(weeks)]])*7</f>
        <v>350</v>
      </c>
    </row>
    <row r="21" spans="2:5" ht="35" customHeight="1" x14ac:dyDescent="0.3">
      <c r="B21" s="14" t="s">
        <v>48</v>
      </c>
      <c r="C21" s="14" t="s">
        <v>49</v>
      </c>
      <c r="D21" s="13">
        <v>2</v>
      </c>
      <c r="E21" s="41">
        <f>(50*Quotation3[[#This Row],[Timeframe
(weeks)]])*7</f>
        <v>700</v>
      </c>
    </row>
    <row r="22" spans="2:5" ht="35" customHeight="1" x14ac:dyDescent="0.3">
      <c r="B22" s="14" t="s">
        <v>34</v>
      </c>
      <c r="C22" s="14" t="s">
        <v>35</v>
      </c>
      <c r="D22" s="13">
        <v>1</v>
      </c>
      <c r="E22" s="41">
        <f>(50*Quotation3[[#This Row],[Timeframe
(weeks)]])*7</f>
        <v>350</v>
      </c>
    </row>
    <row r="23" spans="2:5" ht="35" customHeight="1" x14ac:dyDescent="0.3">
      <c r="B23" s="14" t="s">
        <v>36</v>
      </c>
      <c r="C23" s="14" t="s">
        <v>37</v>
      </c>
      <c r="D23" s="13">
        <v>1</v>
      </c>
      <c r="E23" s="41">
        <f>(50*Quotation3[[#This Row],[Timeframe
(weeks)]])*7</f>
        <v>350</v>
      </c>
    </row>
    <row r="24" spans="2:5" ht="35" customHeight="1" x14ac:dyDescent="0.3">
      <c r="B24" s="14" t="s">
        <v>38</v>
      </c>
      <c r="C24" s="14" t="s">
        <v>39</v>
      </c>
      <c r="D24" s="13">
        <v>1</v>
      </c>
      <c r="E24" s="41">
        <f>(50*Quotation3[[#This Row],[Timeframe
(weeks)]])*7</f>
        <v>350</v>
      </c>
    </row>
    <row r="25" spans="2:5" ht="35" customHeight="1" x14ac:dyDescent="0.3">
      <c r="B25" s="14" t="s">
        <v>40</v>
      </c>
      <c r="C25" s="14" t="s">
        <v>41</v>
      </c>
      <c r="D25" s="13">
        <v>1</v>
      </c>
      <c r="E25" s="41">
        <f>(50*Quotation3[[#This Row],[Timeframe
(weeks)]])*7</f>
        <v>350</v>
      </c>
    </row>
    <row r="26" spans="2:5" ht="35" customHeight="1" x14ac:dyDescent="0.3">
      <c r="B26" s="14" t="s">
        <v>42</v>
      </c>
      <c r="C26" s="14" t="s">
        <v>43</v>
      </c>
      <c r="D26" s="13">
        <v>1.5</v>
      </c>
      <c r="E26" s="41">
        <f>(50*Quotation3[[#This Row],[Timeframe
(weeks)]])*7</f>
        <v>525</v>
      </c>
    </row>
    <row r="27" spans="2:5" ht="35" customHeight="1" x14ac:dyDescent="0.3">
      <c r="B27" s="14" t="s">
        <v>44</v>
      </c>
      <c r="C27" s="14" t="s">
        <v>45</v>
      </c>
      <c r="D27" s="13">
        <v>1</v>
      </c>
      <c r="E27" s="41">
        <f>(50*Quotation3[[#This Row],[Timeframe
(weeks)]])*7</f>
        <v>350</v>
      </c>
    </row>
    <row r="28" spans="2:5" ht="35" customHeight="1" thickBot="1" x14ac:dyDescent="0.35">
      <c r="B28" s="21" t="s">
        <v>28</v>
      </c>
      <c r="C28" s="21" t="s">
        <v>29</v>
      </c>
      <c r="D28" s="22">
        <v>1</v>
      </c>
      <c r="E28" s="42">
        <f>(50*Quotation3[[#This Row],[Timeframe
(weeks)]])*7</f>
        <v>350</v>
      </c>
    </row>
    <row r="29" spans="2:5" ht="30" customHeight="1" thickTop="1" x14ac:dyDescent="0.3">
      <c r="B29" s="5"/>
      <c r="C29" s="38" t="s">
        <v>5</v>
      </c>
      <c r="D29" s="17">
        <f>SUM(D15:D28)</f>
        <v>22</v>
      </c>
      <c r="E29" s="36">
        <f>SUBTOTAL(109,Quotation3[AMOUNT
(MYR)])</f>
        <v>7700</v>
      </c>
    </row>
    <row r="30" spans="2:5" ht="40" customHeight="1" x14ac:dyDescent="0.3">
      <c r="B30" s="47" t="s">
        <v>54</v>
      </c>
      <c r="C30" s="47"/>
      <c r="D30" s="47"/>
      <c r="E30" s="47"/>
    </row>
    <row r="31" spans="2:5" ht="30" customHeight="1" x14ac:dyDescent="0.3">
      <c r="B31" s="43" t="s">
        <v>6</v>
      </c>
      <c r="C31" s="43"/>
      <c r="D31" s="43"/>
      <c r="E31" s="43"/>
    </row>
  </sheetData>
  <mergeCells count="6">
    <mergeCell ref="B31:E31"/>
    <mergeCell ref="B1:E1"/>
    <mergeCell ref="B2:E2"/>
    <mergeCell ref="B13:C13"/>
    <mergeCell ref="D13:E13"/>
    <mergeCell ref="B30:E30"/>
  </mergeCells>
  <dataValidations count="22">
    <dataValidation allowBlank="1" showInputMessage="1" showErrorMessage="1" prompt="Enter Customer ID in cell at right" sqref="C6:E6" xr:uid="{E874050F-398C-4048-A6AD-49E92B328AF3}"/>
    <dataValidation allowBlank="1" showInputMessage="1" showErrorMessage="1" prompt="Enter Quotation number in cell at right" sqref="C4:D5 E5" xr:uid="{74D6E647-3388-45CF-89C2-099C1F16B4CB}"/>
    <dataValidation allowBlank="1" showInputMessage="1" showErrorMessage="1" prompt="Enter Quotation end date in cell at right" sqref="C7:E7 E4" xr:uid="{F1F10730-7162-4DE6-9510-96EE806877BA}"/>
    <dataValidation allowBlank="1" showInputMessage="1" showErrorMessage="1" prompt="Enter Prepared by name in cell at right" sqref="C8:E8" xr:uid="{38149540-E437-4162-805D-C4D8A5FF6D22}"/>
    <dataValidation allowBlank="1" showInputMessage="1" showErrorMessage="1" prompt="Append company Contact Name, Phone Number, and Email address in this cell" sqref="B30:E30" xr:uid="{4744F8E5-4E6B-44B0-B663-66AF06EF3FBA}"/>
    <dataValidation allowBlank="1" showInputMessage="1" showErrorMessage="1" prompt="Enter custom field in this heading and corresponding data in this column under this heading" sqref="C14:D16 C21:D21 C28:D28" xr:uid="{B3CC3283-4340-4D5B-9E21-1F5994FE9760}"/>
    <dataValidation allowBlank="1" showInputMessage="1" showErrorMessage="1" prompt="Enter Description in this column under this heading" sqref="B14:B16 B21 B28" xr:uid="{F16E36A1-D467-441B-8936-BBFC35334F14}"/>
    <dataValidation allowBlank="1" showInputMessage="1" showErrorMessage="1" prompt="Enter customer Phone number in this cell" sqref="B12:B13" xr:uid="{BBD9B38E-4639-43B7-BECC-B49A49DE488D}"/>
    <dataValidation allowBlank="1" showInputMessage="1" showErrorMessage="1" prompt="Title of this worksheet is in this cell. Enter Date, Quotation Number, and Customer ID in cells D2 through D4" sqref="E3:F3" xr:uid="{B1DBE8C8-56C0-4FBE-BDD1-0BA0A93126AA}"/>
    <dataValidation allowBlank="1" showInputMessage="1" showErrorMessage="1" prompt="Create a Price quotation without tax in this worksheet. Enter company, customer, quotation, and product details. Total due is automatically calculated" sqref="A4" xr:uid="{AF08A0E7-8223-4E44-9B06-147023509C4D}"/>
    <dataValidation allowBlank="1" showInputMessage="1" showErrorMessage="1" prompt="Enter Customer ID in this cell" sqref="E6" xr:uid="{20A8910D-73E1-43F5-A7BB-A937BFF09C92}"/>
    <dataValidation allowBlank="1" showInputMessage="1" showErrorMessage="1" prompt="Enter quotation Date in this cell" sqref="E5" xr:uid="{AAE6E05A-3172-43FD-93BE-DD149C046952}"/>
    <dataValidation allowBlank="1" showInputMessage="1" showErrorMessage="1" prompt="Enter Company Name in this cell and slogan in cell below. Quotation title is in cell at right" sqref="B1" xr:uid="{960E7037-8D90-4D2C-AB7F-4631D9D3F685}"/>
    <dataValidation allowBlank="1" showInputMessage="1" showErrorMessage="1" prompt="Enter Company Slogan in this cell and company address in cells below, from cell B3 through B5" sqref="B5" xr:uid="{E5FC591F-C58C-46A2-A1BD-F131C3D650C6}"/>
    <dataValidation allowBlank="1" showInputMessage="1" showErrorMessage="1" prompt="Enter Quotation end date in this cell" sqref="E7 E4" xr:uid="{DF3E2794-B924-48FA-8056-F4BA398A1F4F}"/>
    <dataValidation allowBlank="1" showInputMessage="1" showErrorMessage="1" prompt="Enter Prepared by name in this cell" sqref="E8" xr:uid="{8C3E30C7-9FDB-4C30-B60D-760BD446E109}"/>
    <dataValidation allowBlank="1" showInputMessage="1" showErrorMessage="1" prompt="Enter Bill To details in cells B7 through B11, Quotation end date in cell D6, and Prepared by name in cell D7" sqref="B7" xr:uid="{7907E196-170A-4838-91FC-B896A0EE32F6}"/>
    <dataValidation allowBlank="1" showInputMessage="1" showErrorMessage="1" prompt="Enter customer Name in this cell" sqref="B8" xr:uid="{B0BEA4F8-8325-479D-8127-B1974FB0ABA9}"/>
    <dataValidation allowBlank="1" showInputMessage="1" showErrorMessage="1" prompt="Enter customer Company Name in this cell" sqref="B9" xr:uid="{910753BD-DBB8-41D8-B564-B7ED97A94AB0}"/>
    <dataValidation allowBlank="1" showInputMessage="1" showErrorMessage="1" prompt="Enter customer Street Address in this cell" sqref="B10" xr:uid="{AC4BE97D-2523-4ABC-A9B1-BE27B1BA7976}"/>
    <dataValidation allowBlank="1" showInputMessage="1" showErrorMessage="1" prompt="Enter customer City, State, and Zip Code in this cell" sqref="B11" xr:uid="{624BD4AE-A063-498B-9B90-1B3CDAC9752F}"/>
    <dataValidation allowBlank="1" showInputMessage="1" showErrorMessage="1" prompt="Enter Amount in this column under this heading. Total due is automatically calculated" sqref="E14:E28" xr:uid="{F60847C0-C9EF-4891-B436-DB88982E9342}"/>
  </dataValidations>
  <printOptions horizontalCentered="1"/>
  <pageMargins left="0.5" right="0.5" top="0.5" bottom="0.5" header="0.5" footer="0.5"/>
  <pageSetup scale="77" orientation="portrait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F35"/>
  <sheetViews>
    <sheetView showGridLines="0" topLeftCell="A3" zoomScaleNormal="100" workbookViewId="0">
      <selection activeCell="I16" sqref="I16"/>
    </sheetView>
  </sheetViews>
  <sheetFormatPr defaultRowHeight="30" customHeight="1" x14ac:dyDescent="0.3"/>
  <cols>
    <col min="1" max="1" width="2.4140625" customWidth="1"/>
    <col min="2" max="2" width="30.6640625" customWidth="1"/>
    <col min="3" max="3" width="45.6640625" customWidth="1"/>
    <col min="4" max="5" width="18.6640625" customWidth="1"/>
    <col min="6" max="6" width="2.58203125" customWidth="1"/>
  </cols>
  <sheetData>
    <row r="1" spans="2:6" ht="30" customHeight="1" x14ac:dyDescent="0.3">
      <c r="B1" s="44" t="s">
        <v>7</v>
      </c>
      <c r="C1" s="44"/>
      <c r="D1" s="44"/>
      <c r="E1" s="44"/>
    </row>
    <row r="2" spans="2:6" ht="42" customHeight="1" thickBot="1" x14ac:dyDescent="0.35">
      <c r="B2" s="45" t="s">
        <v>14</v>
      </c>
      <c r="C2" s="45"/>
      <c r="D2" s="45"/>
      <c r="E2" s="45"/>
    </row>
    <row r="3" spans="2:6" ht="30" customHeight="1" thickTop="1" x14ac:dyDescent="0.7">
      <c r="B3" s="33" t="s">
        <v>50</v>
      </c>
      <c r="C3" s="11"/>
      <c r="E3" s="12" t="s">
        <v>0</v>
      </c>
      <c r="F3" s="7"/>
    </row>
    <row r="4" spans="2:6" ht="15" customHeight="1" x14ac:dyDescent="0.3">
      <c r="C4" s="8"/>
      <c r="D4" s="8" t="s">
        <v>15</v>
      </c>
      <c r="E4" s="1">
        <v>45627</v>
      </c>
    </row>
    <row r="5" spans="2:6" ht="15" customHeight="1" x14ac:dyDescent="0.3">
      <c r="B5" s="2"/>
      <c r="C5" s="8"/>
      <c r="D5" s="8" t="s">
        <v>16</v>
      </c>
      <c r="E5" s="1" t="s">
        <v>10</v>
      </c>
    </row>
    <row r="6" spans="2:6" ht="27.65" customHeight="1" x14ac:dyDescent="0.3">
      <c r="B6" s="19" t="s">
        <v>21</v>
      </c>
      <c r="C6" s="18"/>
      <c r="D6" s="18" t="s">
        <v>17</v>
      </c>
      <c r="E6" s="6" t="s">
        <v>9</v>
      </c>
    </row>
    <row r="7" spans="2:6" ht="15" customHeight="1" x14ac:dyDescent="0.35">
      <c r="B7" s="3" t="s">
        <v>4</v>
      </c>
      <c r="C7" s="4"/>
      <c r="D7" s="4" t="s">
        <v>1</v>
      </c>
      <c r="E7" s="1">
        <v>45658</v>
      </c>
    </row>
    <row r="8" spans="2:6" ht="30" customHeight="1" x14ac:dyDescent="0.35">
      <c r="B8" t="s">
        <v>8</v>
      </c>
      <c r="C8" s="4"/>
      <c r="D8" s="4" t="s">
        <v>2</v>
      </c>
      <c r="E8" t="s">
        <v>7</v>
      </c>
    </row>
    <row r="9" spans="2:6" ht="14" x14ac:dyDescent="0.3">
      <c r="B9" t="s">
        <v>11</v>
      </c>
    </row>
    <row r="10" spans="2:6" ht="14" x14ac:dyDescent="0.3">
      <c r="B10" t="s">
        <v>12</v>
      </c>
    </row>
    <row r="11" spans="2:6" ht="14" x14ac:dyDescent="0.3">
      <c r="B11" t="s">
        <v>13</v>
      </c>
    </row>
    <row r="12" spans="2:6" ht="14.5" thickBot="1" x14ac:dyDescent="0.35">
      <c r="B12" s="10"/>
      <c r="C12" s="9"/>
      <c r="D12" s="9"/>
      <c r="E12" s="9"/>
    </row>
    <row r="13" spans="2:6" ht="35" customHeight="1" thickBot="1" x14ac:dyDescent="0.35">
      <c r="B13" s="48" t="s">
        <v>56</v>
      </c>
      <c r="C13" s="48"/>
      <c r="D13" s="46" t="s">
        <v>55</v>
      </c>
      <c r="E13" s="46"/>
    </row>
    <row r="14" spans="2:6" ht="30" customHeight="1" x14ac:dyDescent="0.3">
      <c r="B14" s="23" t="s">
        <v>18</v>
      </c>
      <c r="C14" s="24" t="s">
        <v>3</v>
      </c>
      <c r="D14" s="25" t="s">
        <v>33</v>
      </c>
      <c r="E14" s="26" t="s">
        <v>32</v>
      </c>
    </row>
    <row r="15" spans="2:6" ht="35" customHeight="1" x14ac:dyDescent="0.3">
      <c r="B15" s="27" t="s">
        <v>30</v>
      </c>
      <c r="C15" s="15" t="s">
        <v>31</v>
      </c>
      <c r="D15" s="16">
        <v>1</v>
      </c>
      <c r="E15" s="28">
        <f>(50*Quotation[[#This Row],[Timeframe
(weeks)]])*7</f>
        <v>350</v>
      </c>
    </row>
    <row r="16" spans="2:6" ht="35" customHeight="1" x14ac:dyDescent="0.3">
      <c r="B16" s="27" t="s">
        <v>46</v>
      </c>
      <c r="C16" s="15" t="s">
        <v>47</v>
      </c>
      <c r="D16" s="16">
        <v>1.5</v>
      </c>
      <c r="E16" s="28">
        <f>(50*Quotation[[#This Row],[Timeframe
(weeks)]])*7</f>
        <v>525</v>
      </c>
    </row>
    <row r="17" spans="2:5" ht="35" customHeight="1" x14ac:dyDescent="0.3">
      <c r="B17" s="29" t="s">
        <v>19</v>
      </c>
      <c r="C17" s="14" t="s">
        <v>20</v>
      </c>
      <c r="D17" s="13">
        <v>2</v>
      </c>
      <c r="E17" s="28">
        <f>(50*Quotation[[#This Row],[Timeframe
(weeks)]])*7</f>
        <v>700</v>
      </c>
    </row>
    <row r="18" spans="2:5" ht="35" customHeight="1" x14ac:dyDescent="0.3">
      <c r="B18" s="29" t="s">
        <v>22</v>
      </c>
      <c r="C18" s="14" t="s">
        <v>23</v>
      </c>
      <c r="D18" s="13">
        <v>3</v>
      </c>
      <c r="E18" s="28">
        <f>(50*Quotation[[#This Row],[Timeframe
(weeks)]])*7</f>
        <v>1050</v>
      </c>
    </row>
    <row r="19" spans="2:5" ht="35" customHeight="1" x14ac:dyDescent="0.3">
      <c r="B19" s="29" t="s">
        <v>26</v>
      </c>
      <c r="C19" s="14" t="s">
        <v>27</v>
      </c>
      <c r="D19" s="13">
        <v>4</v>
      </c>
      <c r="E19" s="28">
        <f>(50*Quotation[[#This Row],[Timeframe
(weeks)]])*7</f>
        <v>1400</v>
      </c>
    </row>
    <row r="20" spans="2:5" ht="35" customHeight="1" x14ac:dyDescent="0.3">
      <c r="B20" s="29" t="s">
        <v>24</v>
      </c>
      <c r="C20" s="14" t="s">
        <v>25</v>
      </c>
      <c r="D20" s="13">
        <v>1</v>
      </c>
      <c r="E20" s="28">
        <f>(50*Quotation[[#This Row],[Timeframe
(weeks)]])*7</f>
        <v>350</v>
      </c>
    </row>
    <row r="21" spans="2:5" ht="35" customHeight="1" x14ac:dyDescent="0.3">
      <c r="B21" s="29" t="s">
        <v>28</v>
      </c>
      <c r="C21" s="14" t="s">
        <v>29</v>
      </c>
      <c r="D21" s="13">
        <v>1</v>
      </c>
      <c r="E21" s="28">
        <f>(50*Quotation[[#This Row],[Timeframe
(weeks)]])*7</f>
        <v>350</v>
      </c>
    </row>
    <row r="22" spans="2:5" ht="35" customHeight="1" thickBot="1" x14ac:dyDescent="0.35">
      <c r="B22" s="30" t="s">
        <v>48</v>
      </c>
      <c r="C22" s="21" t="s">
        <v>49</v>
      </c>
      <c r="D22" s="22">
        <v>2</v>
      </c>
      <c r="E22" s="28">
        <f>(50*Quotation[[#This Row],[Timeframe
(weeks)]])*7</f>
        <v>700</v>
      </c>
    </row>
    <row r="23" spans="2:5" ht="30" customHeight="1" thickTop="1" x14ac:dyDescent="0.3">
      <c r="B23" s="5"/>
      <c r="C23" s="38" t="s">
        <v>5</v>
      </c>
      <c r="D23" s="17">
        <f>SUM(D15:D22)</f>
        <v>15.5</v>
      </c>
      <c r="E23" s="36">
        <f>SUBTOTAL(109,Quotation[AMOUNT
(MYR)])</f>
        <v>5425</v>
      </c>
    </row>
    <row r="24" spans="2:5" ht="30" customHeight="1" thickBot="1" x14ac:dyDescent="0.35">
      <c r="B24" t="s">
        <v>53</v>
      </c>
      <c r="C24" s="31"/>
      <c r="D24" s="31"/>
      <c r="E24" s="32"/>
    </row>
    <row r="25" spans="2:5" ht="30" customHeight="1" x14ac:dyDescent="0.3">
      <c r="B25" s="23" t="s">
        <v>18</v>
      </c>
      <c r="C25" s="24" t="s">
        <v>3</v>
      </c>
      <c r="D25" s="25" t="s">
        <v>33</v>
      </c>
      <c r="E25" s="26" t="s">
        <v>32</v>
      </c>
    </row>
    <row r="26" spans="2:5" ht="35" customHeight="1" x14ac:dyDescent="0.3">
      <c r="B26" s="27" t="s">
        <v>34</v>
      </c>
      <c r="C26" s="15" t="s">
        <v>35</v>
      </c>
      <c r="D26" s="20">
        <v>1</v>
      </c>
      <c r="E26" s="28">
        <f>(50*Quotation6[[#This Row],[Timeframe
(weeks)]])*7</f>
        <v>350</v>
      </c>
    </row>
    <row r="27" spans="2:5" ht="35" customHeight="1" x14ac:dyDescent="0.3">
      <c r="B27" s="29" t="s">
        <v>36</v>
      </c>
      <c r="C27" s="14" t="s">
        <v>37</v>
      </c>
      <c r="D27" s="13">
        <v>1</v>
      </c>
      <c r="E27" s="28">
        <f>(50*Quotation6[[#This Row],[Timeframe
(weeks)]])*7</f>
        <v>350</v>
      </c>
    </row>
    <row r="28" spans="2:5" ht="35" customHeight="1" x14ac:dyDescent="0.3">
      <c r="B28" s="29" t="s">
        <v>38</v>
      </c>
      <c r="C28" s="14" t="s">
        <v>39</v>
      </c>
      <c r="D28" s="13">
        <v>1</v>
      </c>
      <c r="E28" s="28">
        <f>(50*Quotation6[[#This Row],[Timeframe
(weeks)]])*7</f>
        <v>350</v>
      </c>
    </row>
    <row r="29" spans="2:5" ht="35" customHeight="1" x14ac:dyDescent="0.3">
      <c r="B29" s="29" t="s">
        <v>40</v>
      </c>
      <c r="C29" s="14" t="s">
        <v>41</v>
      </c>
      <c r="D29" s="13">
        <v>1</v>
      </c>
      <c r="E29" s="34">
        <f>(50*Quotation6[[#This Row],[Timeframe
(weeks)]])*7</f>
        <v>350</v>
      </c>
    </row>
    <row r="30" spans="2:5" ht="35" customHeight="1" x14ac:dyDescent="0.3">
      <c r="B30" s="29" t="s">
        <v>42</v>
      </c>
      <c r="C30" s="14" t="s">
        <v>43</v>
      </c>
      <c r="D30" s="13">
        <v>1.5</v>
      </c>
      <c r="E30" s="34">
        <f>(50*Quotation6[[#This Row],[Timeframe
(weeks)]])*7</f>
        <v>525</v>
      </c>
    </row>
    <row r="31" spans="2:5" ht="35" customHeight="1" x14ac:dyDescent="0.3">
      <c r="B31" s="29" t="s">
        <v>44</v>
      </c>
      <c r="C31" s="14" t="s">
        <v>45</v>
      </c>
      <c r="D31" s="13">
        <v>1</v>
      </c>
      <c r="E31" s="34">
        <f>(50*Quotation6[[#This Row],[Timeframe
(weeks)]])*7</f>
        <v>350</v>
      </c>
    </row>
    <row r="32" spans="2:5" ht="45" customHeight="1" thickBot="1" x14ac:dyDescent="0.35">
      <c r="B32" s="30" t="s">
        <v>51</v>
      </c>
      <c r="C32" s="21" t="s">
        <v>52</v>
      </c>
      <c r="D32" s="22">
        <v>2</v>
      </c>
      <c r="E32" s="35">
        <f>(50*Quotation6[[#This Row],[Timeframe
(weeks)]])*7</f>
        <v>700</v>
      </c>
    </row>
    <row r="33" spans="2:5" ht="30" customHeight="1" thickTop="1" x14ac:dyDescent="0.3">
      <c r="B33" s="5"/>
      <c r="C33" s="37" t="s">
        <v>5</v>
      </c>
      <c r="D33" s="17">
        <f>SUM(D26:D32)</f>
        <v>8.5</v>
      </c>
      <c r="E33" s="36">
        <f>SUBTOTAL(109,Quotation6[AMOUNT
(MYR)])</f>
        <v>2975</v>
      </c>
    </row>
    <row r="34" spans="2:5" ht="40" customHeight="1" x14ac:dyDescent="0.3">
      <c r="B34" s="47" t="s">
        <v>54</v>
      </c>
      <c r="C34" s="47"/>
      <c r="D34" s="47"/>
      <c r="E34" s="47"/>
    </row>
    <row r="35" spans="2:5" ht="30" customHeight="1" x14ac:dyDescent="0.3">
      <c r="B35" s="43" t="s">
        <v>6</v>
      </c>
      <c r="C35" s="43"/>
      <c r="D35" s="43"/>
      <c r="E35" s="43"/>
    </row>
  </sheetData>
  <mergeCells count="6">
    <mergeCell ref="D13:E13"/>
    <mergeCell ref="B34:E34"/>
    <mergeCell ref="B35:E35"/>
    <mergeCell ref="B1:E1"/>
    <mergeCell ref="B2:E2"/>
    <mergeCell ref="B13:C13"/>
  </mergeCells>
  <phoneticPr fontId="1" type="noConversion"/>
  <dataValidations xWindow="319" yWindow="350" count="22">
    <dataValidation allowBlank="1" showInputMessage="1" showErrorMessage="1" prompt="Enter customer City, State, and Zip Code in this cell" sqref="B11" xr:uid="{00000000-0002-0000-0000-000007000000}"/>
    <dataValidation allowBlank="1" showInputMessage="1" showErrorMessage="1" prompt="Enter customer Street Address in this cell" sqref="B10" xr:uid="{00000000-0002-0000-0000-000008000000}"/>
    <dataValidation allowBlank="1" showInputMessage="1" showErrorMessage="1" prompt="Enter customer Company Name in this cell" sqref="B9" xr:uid="{00000000-0002-0000-0000-000009000000}"/>
    <dataValidation allowBlank="1" showInputMessage="1" showErrorMessage="1" prompt="Enter customer Name in this cell" sqref="B8" xr:uid="{00000000-0002-0000-0000-00000A000000}"/>
    <dataValidation allowBlank="1" showInputMessage="1" showErrorMessage="1" prompt="Enter Bill To details in cells B7 through B11, Quotation end date in cell D6, and Prepared by name in cell D7" sqref="B7" xr:uid="{00000000-0002-0000-0000-00000B000000}"/>
    <dataValidation allowBlank="1" showInputMessage="1" showErrorMessage="1" prompt="Enter Prepared by name in this cell" sqref="E8" xr:uid="{00000000-0002-0000-0000-00000D000000}"/>
    <dataValidation allowBlank="1" showInputMessage="1" showErrorMessage="1" prompt="Enter Quotation end date in this cell" sqref="E7 E4" xr:uid="{00000000-0002-0000-0000-00000F000000}"/>
    <dataValidation allowBlank="1" showInputMessage="1" showErrorMessage="1" prompt="Enter Company Slogan in this cell and company address in cells below, from cell B3 through B5" sqref="B5" xr:uid="{00000000-0002-0000-0000-000013000000}"/>
    <dataValidation allowBlank="1" showInputMessage="1" showErrorMessage="1" prompt="Enter Company Name in this cell and slogan in cell below. Quotation title is in cell at right" sqref="B1" xr:uid="{00000000-0002-0000-0000-000014000000}"/>
    <dataValidation allowBlank="1" showInputMessage="1" showErrorMessage="1" prompt="Enter quotation Date in this cell" sqref="E5" xr:uid="{00000000-0002-0000-0000-000017000000}"/>
    <dataValidation allowBlank="1" showInputMessage="1" showErrorMessage="1" prompt="Enter Customer ID in this cell" sqref="E6" xr:uid="{00000000-0002-0000-0000-00001B000000}"/>
    <dataValidation allowBlank="1" showInputMessage="1" showErrorMessage="1" prompt="Create a Price quotation without tax in this worksheet. Enter company, customer, quotation, and product details. Total due is automatically calculated" sqref="A4" xr:uid="{00000000-0002-0000-0000-00001C000000}"/>
    <dataValidation allowBlank="1" showInputMessage="1" showErrorMessage="1" prompt="Title of this worksheet is in this cell. Enter Date, Quotation Number, and Customer ID in cells D2 through D4" sqref="E3:F3" xr:uid="{00000000-0002-0000-0000-000015000000}"/>
    <dataValidation allowBlank="1" showInputMessage="1" showErrorMessage="1" prompt="Enter customer Phone number in this cell" sqref="B12:B13" xr:uid="{00000000-0002-0000-0000-000006000000}"/>
    <dataValidation allowBlank="1" showInputMessage="1" showErrorMessage="1" prompt="Enter Amount in this column under this heading. Total due is automatically calculated" sqref="E25:E32 E14:E22" xr:uid="{00000000-0002-0000-0000-000001000000}"/>
    <dataValidation allowBlank="1" showInputMessage="1" showErrorMessage="1" prompt="Enter Description in this column under this heading" sqref="B14:B16 B21:B22 B25" xr:uid="{00000000-0002-0000-0000-000003000000}"/>
    <dataValidation allowBlank="1" showInputMessage="1" showErrorMessage="1" prompt="Enter custom field in this heading and corresponding data in this column under this heading" sqref="C14:D16 C21:D22 C25:D25" xr:uid="{00000000-0002-0000-0000-000002000000}"/>
    <dataValidation allowBlank="1" showInputMessage="1" showErrorMessage="1" prompt="Append company Contact Name, Phone Number, and Email address in this cell" sqref="B34:E34" xr:uid="{00000000-0002-0000-0000-000000000000}"/>
    <dataValidation allowBlank="1" showInputMessage="1" showErrorMessage="1" prompt="Enter Prepared by name in cell at right" sqref="C8:E8" xr:uid="{00000000-0002-0000-0000-00000C000000}"/>
    <dataValidation allowBlank="1" showInputMessage="1" showErrorMessage="1" prompt="Enter Quotation end date in cell at right" sqref="C7:E7 E4" xr:uid="{00000000-0002-0000-0000-00000E000000}"/>
    <dataValidation allowBlank="1" showInputMessage="1" showErrorMessage="1" prompt="Enter Quotation number in cell at right" sqref="C4:D5 E5" xr:uid="{00000000-0002-0000-0000-000018000000}"/>
    <dataValidation allowBlank="1" showInputMessage="1" showErrorMessage="1" prompt="Enter Customer ID in cell at right" sqref="C6:E6" xr:uid="{00000000-0002-0000-0000-00001A000000}"/>
  </dataValidations>
  <printOptions horizontalCentered="1"/>
  <pageMargins left="0.5" right="0.5" top="0.5" bottom="0.5" header="0.5" footer="0.5"/>
  <pageSetup scale="67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Quotation-New</vt:lpstr>
      <vt:lpstr>Quotation-old</vt:lpstr>
      <vt:lpstr>'Quotation-New'!ColumnTitle1</vt:lpstr>
      <vt:lpstr>ColumnTitle1</vt:lpstr>
      <vt:lpstr>'Quotation-New'!ColumnTitleRegion1..B11.1</vt:lpstr>
      <vt:lpstr>ColumnTitleRegion1..B11.1</vt:lpstr>
      <vt:lpstr>'Quotation-New'!Print_Area</vt:lpstr>
      <vt:lpstr>'Quotation-old'!Print_Area</vt:lpstr>
      <vt:lpstr>'Quotation-New'!Print_Titles</vt:lpstr>
      <vt:lpstr>'Quotation-old'!Print_Titles</vt:lpstr>
      <vt:lpstr>'Quotation-New'!RowTitleRegion1..D4</vt:lpstr>
      <vt:lpstr>RowTitleRegion1..D4</vt:lpstr>
      <vt:lpstr>'Quotation-New'!RowTitleRegion2..D7</vt:lpstr>
      <vt:lpstr>RowTitleRegion2..D7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Chian Weilon</dc:creator>
  <cp:lastModifiedBy>alanchian6827</cp:lastModifiedBy>
  <cp:lastPrinted>2024-12-09T12:55:47Z</cp:lastPrinted>
  <dcterms:created xsi:type="dcterms:W3CDTF">2017-08-10T11:55:59Z</dcterms:created>
  <dcterms:modified xsi:type="dcterms:W3CDTF">2024-12-09T15:15:27Z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{E02E1970-C4DE-4C6F-97FD-D5190A25080F}</vt:lpwstr>
  </property>
  <property fmtid="{D5CDD505-2E9C-101B-9397-08002B2CF9AE}" pid="3" name="DLPManualFileClassificationLastModifiedBy">
    <vt:lpwstr>PORTALDOM\453228</vt:lpwstr>
  </property>
  <property fmtid="{D5CDD505-2E9C-101B-9397-08002B2CF9AE}" pid="4" name="DLPManualFileClassificationLastModificationDate">
    <vt:lpwstr>1732630363</vt:lpwstr>
  </property>
  <property fmtid="{D5CDD505-2E9C-101B-9397-08002B2CF9AE}" pid="5" name="DLPManualFileClassificationVersion">
    <vt:lpwstr>11.6.600.21</vt:lpwstr>
  </property>
</Properties>
</file>